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er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Case</t>
        </is>
      </c>
      <c r="B1" s="1" t="inlineStr">
        <is>
          <t>First</t>
        </is>
      </c>
      <c r="C1" s="1" t="inlineStr">
        <is>
          <t>Second</t>
        </is>
      </c>
      <c r="D1" s="1" t="inlineStr">
        <is>
          <t>Third</t>
        </is>
      </c>
      <c r="E1" s="1" t="inlineStr">
        <is>
          <t>Range GCD</t>
        </is>
      </c>
      <c r="F1" s="1" t="inlineStr">
        <is>
          <t>Range LCM</t>
        </is>
      </c>
      <c r="G1" s="1" t="inlineStr">
        <is>
          <t>Direct GCD</t>
        </is>
      </c>
      <c r="H1" s="1" t="inlineStr">
        <is>
          <t>Direct LCM</t>
        </is>
      </c>
    </row>
    <row r="2">
      <c r="A2" t="inlineStr">
        <is>
          <t>Positive</t>
        </is>
      </c>
      <c r="B2" t="n">
        <v>24</v>
      </c>
      <c r="C2" t="n">
        <v>36</v>
      </c>
      <c r="D2" t="n">
        <v>60</v>
      </c>
      <c r="E2">
        <f>GCD(B2:D2)</f>
        <v/>
      </c>
      <c r="F2">
        <f>LCM(B2:D2)</f>
        <v/>
      </c>
      <c r="G2">
        <f>GCD(24,36,60)</f>
        <v/>
      </c>
      <c r="H2">
        <f>LCM(24,36,60)</f>
        <v/>
      </c>
    </row>
    <row r="3">
      <c r="A3" t="inlineStr">
        <is>
          <t>Single</t>
        </is>
      </c>
      <c r="B3" t="n">
        <v>13</v>
      </c>
      <c r="E3">
        <f>GCD(B3:D3)</f>
        <v/>
      </c>
      <c r="F3">
        <f>LCM(B3:D3)</f>
        <v/>
      </c>
      <c r="G3">
        <f>GCD(13)</f>
        <v/>
      </c>
      <c r="H3">
        <f>LCM(13)</f>
        <v/>
      </c>
    </row>
    <row r="4">
      <c r="A4" t="inlineStr">
        <is>
          <t>All zero</t>
        </is>
      </c>
      <c r="B4" t="n">
        <v>0</v>
      </c>
      <c r="C4" t="n">
        <v>0</v>
      </c>
      <c r="D4" t="n">
        <v>0</v>
      </c>
      <c r="E4">
        <f>GCD(B4:D4)</f>
        <v/>
      </c>
      <c r="F4">
        <f>LCM(B4:D4)</f>
        <v/>
      </c>
      <c r="G4">
        <f>GCD(0,0,0)</f>
        <v/>
      </c>
      <c r="H4">
        <f>LCM(0,0,0)</f>
        <v/>
      </c>
    </row>
    <row r="5">
      <c r="A5" t="inlineStr">
        <is>
          <t>Contains zero</t>
        </is>
      </c>
      <c r="B5" t="n">
        <v>12</v>
      </c>
      <c r="C5" t="n">
        <v>0</v>
      </c>
      <c r="D5" t="n">
        <v>18</v>
      </c>
      <c r="E5">
        <f>GCD(B5:D5)</f>
        <v/>
      </c>
      <c r="F5">
        <f>LCM(B5:D5)</f>
        <v/>
      </c>
      <c r="G5">
        <f>GCD(12,0,18)</f>
        <v/>
      </c>
      <c r="H5">
        <f>LCM(12,0,18)</f>
        <v/>
      </c>
    </row>
    <row r="6">
      <c r="A6" t="inlineStr">
        <is>
          <t>Fractions</t>
        </is>
      </c>
      <c r="B6" t="n">
        <v>24.9</v>
      </c>
      <c r="C6" t="n">
        <v>36.2</v>
      </c>
      <c r="D6" t="n">
        <v>60.8</v>
      </c>
      <c r="E6">
        <f>GCD(B6:D6)</f>
        <v/>
      </c>
      <c r="F6">
        <f>LCM(B6:D6)</f>
        <v/>
      </c>
      <c r="G6">
        <f>GCD(24.9,36.2,60.8)</f>
        <v/>
      </c>
      <c r="H6">
        <f>LCM(24.9,36.2,60.8)</f>
        <v/>
      </c>
    </row>
    <row r="7">
      <c r="A7" t="inlineStr">
        <is>
          <t>Negative</t>
        </is>
      </c>
      <c r="B7" t="n">
        <v>-24</v>
      </c>
      <c r="C7" t="n">
        <v>36</v>
      </c>
      <c r="D7" t="n">
        <v>60</v>
      </c>
      <c r="E7">
        <f>GCD(B7:D7)</f>
        <v/>
      </c>
      <c r="F7">
        <f>LCM(B7:D7)</f>
        <v/>
      </c>
      <c r="G7">
        <f>GCD(-24,36,60)</f>
        <v/>
      </c>
      <c r="H7">
        <f>LCM(-24,36,60)</f>
        <v/>
      </c>
    </row>
    <row r="8">
      <c r="A8" t="inlineStr">
        <is>
          <t>Small negative</t>
        </is>
      </c>
      <c r="B8" t="n">
        <v>-0.2</v>
      </c>
      <c r="C8" t="n">
        <v>36</v>
      </c>
      <c r="D8" t="n">
        <v>60</v>
      </c>
      <c r="E8">
        <f>GCD(B8:D8)</f>
        <v/>
      </c>
      <c r="F8">
        <f>LCM(B8:D8)</f>
        <v/>
      </c>
      <c r="G8">
        <f>GCD(-0.2,36,60)</f>
        <v/>
      </c>
      <c r="H8">
        <f>LCM(-0.2,36,60)</f>
        <v/>
      </c>
    </row>
    <row r="9">
      <c r="A9" t="inlineStr">
        <is>
          <t>Text</t>
        </is>
      </c>
      <c r="B9" t="inlineStr">
        <is>
          <t>text</t>
        </is>
      </c>
      <c r="C9" t="n">
        <v>12</v>
      </c>
      <c r="D9" t="n">
        <v>18</v>
      </c>
      <c r="E9">
        <f>GCD(B9:D9)</f>
        <v/>
      </c>
      <c r="F9">
        <f>LCM(B9:D9)</f>
        <v/>
      </c>
      <c r="G9">
        <f>GCD("text",12,18)</f>
        <v/>
      </c>
      <c r="H9">
        <f>LCM("text",12,18)</f>
        <v/>
      </c>
    </row>
    <row r="10">
      <c r="A10" t="inlineStr">
        <is>
          <t>Numeric text</t>
        </is>
      </c>
      <c r="B10" t="inlineStr">
        <is>
          <t>24</t>
        </is>
      </c>
      <c r="C10" t="n">
        <v>36</v>
      </c>
      <c r="D10" t="n">
        <v>60</v>
      </c>
      <c r="E10">
        <f>GCD(B10:D10)</f>
        <v/>
      </c>
      <c r="F10">
        <f>LCM(B10:D10)</f>
        <v/>
      </c>
      <c r="G10">
        <f>GCD("24",36,60)</f>
        <v/>
      </c>
      <c r="H10">
        <f>LCM("24",36,60)</f>
        <v/>
      </c>
    </row>
    <row r="11">
      <c r="A11" t="inlineStr">
        <is>
          <t>Boolean</t>
        </is>
      </c>
      <c r="B11" t="b">
        <v>1</v>
      </c>
      <c r="C11" t="n">
        <v>12</v>
      </c>
      <c r="D11" t="n">
        <v>18</v>
      </c>
      <c r="E11">
        <f>GCD(B11:D11)</f>
        <v/>
      </c>
      <c r="F11">
        <f>LCM(B11:D11)</f>
        <v/>
      </c>
      <c r="G11">
        <f>GCD(TRUE,12,18)</f>
        <v/>
      </c>
      <c r="H11">
        <f>LCM(TRUE,12,18)</f>
        <v/>
      </c>
    </row>
    <row r="12">
      <c r="A12" t="inlineStr">
        <is>
          <t>Blank</t>
        </is>
      </c>
      <c r="E12">
        <f>GCD(B12:D12)</f>
        <v/>
      </c>
      <c r="F12">
        <f>LCM(B12:D12)</f>
        <v/>
      </c>
      <c r="G12">
        <f>GCD(0)</f>
        <v/>
      </c>
      <c r="H12">
        <f>LCM(0)</f>
        <v/>
      </c>
    </row>
    <row r="13">
      <c r="A13" t="inlineStr">
        <is>
          <t>Exact maximum</t>
        </is>
      </c>
      <c r="B13" t="n">
        <v>9007199254740991</v>
      </c>
      <c r="C13" t="n">
        <v>1</v>
      </c>
      <c r="D13" t="n">
        <v>1</v>
      </c>
      <c r="E13">
        <f>GCD(B13:D13)</f>
        <v/>
      </c>
      <c r="F13">
        <f>LCM(B13:D13)</f>
        <v/>
      </c>
      <c r="G13">
        <f>GCD(9007199254740991,1,1)</f>
        <v/>
      </c>
      <c r="H13">
        <f>LCM(9007199254740991,1,1)</f>
        <v/>
      </c>
    </row>
    <row r="14">
      <c r="A14" t="inlineStr">
        <is>
          <t>Operand boundary</t>
        </is>
      </c>
      <c r="B14" t="n">
        <v>9007199254740992</v>
      </c>
      <c r="C14" t="n">
        <v>4</v>
      </c>
      <c r="D14" t="n">
        <v>8</v>
      </c>
      <c r="E14">
        <f>GCD(B14:D14)</f>
        <v/>
      </c>
      <c r="F14">
        <f>LCM(B14:D14)</f>
        <v/>
      </c>
      <c r="G14">
        <f>GCD(9007199254740992,4,8)</f>
        <v/>
      </c>
      <c r="H14">
        <f>LCM(9007199254740992,4,8)</f>
        <v/>
      </c>
    </row>
    <row r="15">
      <c r="A15" t="inlineStr">
        <is>
          <t>LCM overflow</t>
        </is>
      </c>
      <c r="B15" t="n">
        <v>134217728</v>
      </c>
      <c r="C15" t="n">
        <v>67108865</v>
      </c>
      <c r="E15">
        <f>GCD(B15:D15)</f>
        <v/>
      </c>
      <c r="F15">
        <f>LCM(B15:D15)</f>
        <v/>
      </c>
      <c r="G15">
        <f>GCD(134217728,67108865)</f>
        <v/>
      </c>
      <c r="H15">
        <f>LCM(134217728,67108865)</f>
        <v/>
      </c>
    </row>
    <row r="16">
      <c r="A16" t="inlineStr">
        <is>
          <t>Below one</t>
        </is>
      </c>
      <c r="B16" t="n">
        <v>0.25</v>
      </c>
      <c r="C16" t="n">
        <v>0.75</v>
      </c>
      <c r="E16">
        <f>GCD(B16:D16)</f>
        <v/>
      </c>
      <c r="F16">
        <f>LCM(B16:D16)</f>
        <v/>
      </c>
      <c r="G16">
        <f>GCD(0.25,0.75)</f>
        <v/>
      </c>
      <c r="H16">
        <f>LCM(0.25,0.75)</f>
        <v/>
      </c>
    </row>
    <row r="17">
      <c r="A17" t="inlineStr">
        <is>
          <t>Zero before large</t>
        </is>
      </c>
      <c r="B17" t="n">
        <v>0</v>
      </c>
      <c r="C17" t="n">
        <v>134217728</v>
      </c>
      <c r="D17" t="n">
        <v>67108865</v>
      </c>
      <c r="E17">
        <f>GCD(B17:D17)</f>
        <v/>
      </c>
      <c r="F17">
        <f>LCM(B17:D17)</f>
        <v/>
      </c>
      <c r="G17">
        <f>GCD(0,134217728,67108865)</f>
        <v/>
      </c>
      <c r="H17">
        <f>LCM(0,134217728,67108865)</f>
        <v/>
      </c>
    </row>
    <row r="18">
      <c r="A18" t="inlineStr">
        <is>
          <t>Zero after large</t>
        </is>
      </c>
      <c r="B18" t="n">
        <v>134217728</v>
      </c>
      <c r="C18" t="n">
        <v>67108865</v>
      </c>
      <c r="D18" t="n">
        <v>0</v>
      </c>
      <c r="E18">
        <f>GCD(B18:D18)</f>
        <v/>
      </c>
      <c r="F18">
        <f>LCM(B18:D18)</f>
        <v/>
      </c>
      <c r="G18">
        <f>GCD(134217728,67108865,0)</f>
        <v/>
      </c>
      <c r="H18">
        <f>LCM(134217728,67108865,0)</f>
        <v/>
      </c>
    </row>
  </sheetData>
  <printOptions horizontalCentered="1"/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2026-10-10T08:44:00Z</dcterms:created>
  <dcterms:modified xmlns:dcterms="http://purl.org/dc/terms/" xmlns:xsi="http://www.w3.org/2001/XMLSchema-instance" xsi:type="dcterms:W3CDTF">2026-10-10T08:44:00Z</dcterms:modified>
</cp:coreProperties>
</file>