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Conditional typed errors" sheetId="1" r:id="rId1"/>
  </sheets>
</workbook>
</file>

<file path=xl/sharedStrings.xml><?xml version="1.0" encoding="utf-8"?>
<x:sst xmlns:x="http://schemas.openxmlformats.org/spreadsheetml/2006/main" count="111" uniqueCount="108">
  <x:si>
    <x:t>Region</x:t>
  </x:si>
  <x:si>
    <x:t>Value</x:t>
  </x:si>
  <x:si>
    <x:t>EU</x:t>
  </x:si>
  <x:si>
    <x:t>US</x:t>
  </x:si>
  <x:si>
    <x:t>#N/A</x:t>
  </x:si>
  <x:si>
    <x:t>Case</x:t>
  </x:si>
  <x:si>
    <x:t>Direct</x:t>
  </x:si>
  <x:si>
    <x:t>IFERROR</x:t>
  </x:si>
  <x:si>
    <x:t>IFNA</x:t>
  </x:si>
  <x:si>
    <x:t>ISERROR</x:t>
  </x:si>
  <x:si>
    <x:t>Matched error: SUMIF</x:t>
  </x:si>
  <x:si>
    <x:t>Matched error: SUMIFS</x:t>
  </x:si>
  <x:si>
    <x:t>Matched error: AVERAGEIF</x:t>
  </x:si>
  <x:si>
    <x:t>Matched error: AVERAGEIFS</x:t>
  </x:si>
  <x:si>
    <x:t>Matched error: MINIFS</x:t>
  </x:si>
  <x:si>
    <x:t>Matched error: MAXIFS</x:t>
  </x:si>
  <x:si>
    <x:t>Matched mixed: SUMIF</x:t>
  </x:si>
  <x:si>
    <x:t>Matched mixed: SUMIFS</x:t>
  </x:si>
  <x:si>
    <x:t>Matched mixed: AVERAGEIF</x:t>
  </x:si>
  <x:si>
    <x:t>Matched mixed: AVERAGEIFS</x:t>
  </x:si>
  <x:si>
    <x:t>Matched mixed: MINIFS</x:t>
  </x:si>
  <x:si>
    <x:t>Matched mixed: MAXIFS</x:t>
  </x:si>
  <x:si>
    <x:t>Unmatched error: SUMIF</x:t>
  </x:si>
  <x:si>
    <x:t>Unmatched error: SUMIFS</x:t>
  </x:si>
  <x:si>
    <x:t>Unmatched error: AVERAGEIF</x:t>
  </x:si>
  <x:si>
    <x:t>Unmatched error: AVERAGEIFS</x:t>
  </x:si>
  <x:si>
    <x:t>Unmatched error: MINIFS</x:t>
  </x:si>
  <x:si>
    <x:t>Unmatched error: MAXIFS</x:t>
  </x:si>
  <x:si>
    <x:t>Typed scalar no match: SUMIF</x:t>
  </x:si>
  <x:si>
    <x:t>Typed scalar no match: SUMIFS</x:t>
  </x:si>
  <x:si>
    <x:t>Typed scalar no match: AVERAGEIF</x:t>
  </x:si>
  <x:si>
    <x:t>Typed scalar no match: AVERAGEIFS</x:t>
  </x:si>
  <x:si>
    <x:t>Typed scalar no match: MINIFS</x:t>
  </x:si>
  <x:si>
    <x:t>Typed scalar no match: MAXIFS</x:t>
  </x:si>
  <x:si>
    <x:t>Typed scalar no match: COUNTIF</x:t>
  </x:si>
  <x:si>
    <x:t>Typed scalar no match: COUNTIFS</x:t>
  </x:si>
  <x:si>
    <x:t>Typed scalar error match: SUMIF</x:t>
  </x:si>
  <x:si>
    <x:t>Typed scalar error match: SUMIFS</x:t>
  </x:si>
  <x:si>
    <x:t>Typed scalar error match: AVERAGEIF</x:t>
  </x:si>
  <x:si>
    <x:t>Typed scalar error match: AVERAGEIFS</x:t>
  </x:si>
  <x:si>
    <x:t>Typed scalar error match: MINIFS</x:t>
  </x:si>
  <x:si>
    <x:t>Typed scalar error match: MAXIFS</x:t>
  </x:si>
  <x:si>
    <x:t>Typed scalar error match: COUNTIF</x:t>
  </x:si>
  <x:si>
    <x:t>Typed scalar error match: COUNTIFS</x:t>
  </x:si>
  <x:si>
    <x:t>Typed cell no match: SUMIF</x:t>
  </x:si>
  <x:si>
    <x:t>Typed cell no match: SUMIFS</x:t>
  </x:si>
  <x:si>
    <x:t>Typed cell no match: AVERAGEIF</x:t>
  </x:si>
  <x:si>
    <x:t>Typed cell no match: AVERAGEIFS</x:t>
  </x:si>
  <x:si>
    <x:t>Typed cell no match: MINIFS</x:t>
  </x:si>
  <x:si>
    <x:t>Typed cell no match: MAXIFS</x:t>
  </x:si>
  <x:si>
    <x:t>Typed cell no match: COUNTIF</x:t>
  </x:si>
  <x:si>
    <x:t>Typed cell no match: COUNTIFS</x:t>
  </x:si>
  <x:si>
    <x:t>Typed cell text match: SUMIF</x:t>
  </x:si>
  <x:si>
    <x:t>Typed cell text match: SUMIFS</x:t>
  </x:si>
  <x:si>
    <x:t>Typed cell text match: AVERAGEIF</x:t>
  </x:si>
  <x:si>
    <x:t>Typed cell text match: AVERAGEIFS</x:t>
  </x:si>
  <x:si>
    <x:t>Typed cell text match: MINIFS</x:t>
  </x:si>
  <x:si>
    <x:t>Typed cell text match: MAXIFS</x:t>
  </x:si>
  <x:si>
    <x:t>Typed cell text match: COUNTIF</x:t>
  </x:si>
  <x:si>
    <x:t>Typed cell text match: COUNTIFS</x:t>
  </x:si>
  <x:si>
    <x:t>Text error criterion: SUMIF</x:t>
  </x:si>
  <x:si>
    <x:t>Text error criterion: SUMIFS</x:t>
  </x:si>
  <x:si>
    <x:t>Text error criterion: AVERAGEIF</x:t>
  </x:si>
  <x:si>
    <x:t>Text error criterion: AVERAGEIFS</x:t>
  </x:si>
  <x:si>
    <x:t>Text error criterion: MINIFS</x:t>
  </x:si>
  <x:si>
    <x:t>Text error criterion: MAXIFS</x:t>
  </x:si>
  <x:si>
    <x:t>Text error criterion: COUNTIF</x:t>
  </x:si>
  <x:si>
    <x:t>Text error criterion: COUNTIFS</x:t>
  </x:si>
  <x:si>
    <x:t>Error criteria row skipped: SUMIF</x:t>
  </x:si>
  <x:si>
    <x:t>Error criteria row skipped: SUMIFS</x:t>
  </x:si>
  <x:si>
    <x:t>Error criteria row skipped: AVERAGEIF</x:t>
  </x:si>
  <x:si>
    <x:t>Error criteria row skipped: AVERAGEIFS</x:t>
  </x:si>
  <x:si>
    <x:t>Error criteria row skipped: MINIFS</x:t>
  </x:si>
  <x:si>
    <x:t>Error criteria row skipped: MAXIFS</x:t>
  </x:si>
  <x:si>
    <x:t>Error criteria row skipped: COUNTIF</x:t>
  </x:si>
  <x:si>
    <x:t>Error criteria row skipped: COUNTIFS</x:t>
  </x:si>
  <x:si>
    <x:t>Error criteria row matched: SUMIF</x:t>
  </x:si>
  <x:si>
    <x:t>Error criteria row matched: SUMIFS</x:t>
  </x:si>
  <x:si>
    <x:t>Error criteria row matched: AVERAGEIF</x:t>
  </x:si>
  <x:si>
    <x:t>Error criteria row matched: AVERAGEIFS</x:t>
  </x:si>
  <x:si>
    <x:t>Error criteria row matched: MINIFS</x:t>
  </x:si>
  <x:si>
    <x:t>Error criteria row matched: MAXIFS</x:t>
  </x:si>
  <x:si>
    <x:t>Error criteria row matched: COUNTIF</x:t>
  </x:si>
  <x:si>
    <x:t>Error criteria row matched: COUNTIFS</x:t>
  </x:si>
  <x:si>
    <x:t>Typed NA among errors: SUMIF</x:t>
  </x:si>
  <x:si>
    <x:t>Typed NA among errors: SUMIFS</x:t>
  </x:si>
  <x:si>
    <x:t>Typed NA among errors: AVERAGEIF</x:t>
  </x:si>
  <x:si>
    <x:t>Typed NA among errors: AVERAGEIFS</x:t>
  </x:si>
  <x:si>
    <x:t>Typed NA among errors: MINIFS</x:t>
  </x:si>
  <x:si>
    <x:t>Typed NA among errors: MAXIFS</x:t>
  </x:si>
  <x:si>
    <x:t>Typed NA among errors: COUNTIF</x:t>
  </x:si>
  <x:si>
    <x:t>Typed NA among errors: COUNTIFS</x:t>
  </x:si>
  <x:si>
    <x:t>Typed DIV among errors: SUMIF</x:t>
  </x:si>
  <x:si>
    <x:t>Typed DIV among errors: SUMIFS</x:t>
  </x:si>
  <x:si>
    <x:t>Typed DIV among errors: AVERAGEIF</x:t>
  </x:si>
  <x:si>
    <x:t>Typed DIV among errors: AVERAGEIFS</x:t>
  </x:si>
  <x:si>
    <x:t>Typed DIV among errors: MINIFS</x:t>
  </x:si>
  <x:si>
    <x:t>Typed DIV among errors: MAXIFS</x:t>
  </x:si>
  <x:si>
    <x:t>Typed DIV among errors: COUNTIF</x:t>
  </x:si>
  <x:si>
    <x:t>Typed DIV among errors: COUNTIFS</x:t>
  </x:si>
  <x:si>
    <x:t>Error operator SUMIF: &lt;&gt;EU</x:t>
  </x:si>
  <x:si>
    <x:t>Error operator COUNTIF: &lt;&gt;EU</x:t>
  </x:si>
  <x:si>
    <x:t>Error operator SUMIF: &lt;&gt;</x:t>
  </x:si>
  <x:si>
    <x:t>Error operator COUNTIF: &lt;&gt;</x:t>
  </x:si>
  <x:si>
    <x:t>Error operator SUMIF: *</x:t>
  </x:si>
  <x:si>
    <x:t>Error operator COUNTIF: *</x:t>
  </x:si>
  <x:si>
    <x:t>Error operator SUMIF: &gt;=EU</x:t>
  </x:si>
  <x:si>
    <x:t>Error operator COUNTIF: &gt;=EU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</x:si>
</x:sst>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J99"/>
  <x:sheetViews xmlns:x="http://schemas.openxmlformats.org/spreadsheetml/2006/main">
    <x:sheetView workbookViewId="0">
      <x:selection activeCell="A1" sqref="A1"/>
    </x:sheetView>
  </x:sheetViews>
  <cols>
    <col min="1" max="1" width="10" customWidth="1"/>
    <col min="2" max="2" width="10" customWidth="1"/>
    <col min="3" max="3" width="3" customWidth="1"/>
    <col min="4" max="4" width="10" customWidth="1"/>
    <col min="5" max="5" width="3" customWidth="1"/>
    <col min="6" max="6" width="42" customWidth="1"/>
    <col min="7" max="7" width="16" customWidth="1"/>
    <col min="8" max="8" width="12" customWidth="1"/>
    <col min="9" max="9" width="12" customWidth="1"/>
    <col min="10" max="10" width="12" customWidth="1"/>
  </cols>
  <sheetData>
    <row r="1">
      <c r="A1" t="s">
        <v>0</v>
      </c>
      <c r="B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</v>
      </c>
      <c r="B2">
        <f>NA()</f>
      </c>
      <c r="D2">
        <f>NA()</f>
      </c>
      <c r="F2" t="s">
        <v>10</v>
      </c>
      <c r="G2">
        <f>SUMIF(A2,"EU",B2)</f>
      </c>
      <c r="H2">
        <f>IFERROR(G2,99)</f>
      </c>
      <c r="I2">
        <f>_xlfn.IFNA(G2,99)</f>
      </c>
      <c r="J2">
        <f>ISERROR(G2)</f>
      </c>
    </row>
    <row r="3">
      <c r="A3" t="s">
        <v>2</v>
      </c>
      <c r="B3" t="n">
        <v>10</v>
      </c>
      <c r="F3" t="s">
        <v>11</v>
      </c>
      <c r="G3">
        <f>SUMIFS(B2,A2,"EU")</f>
      </c>
      <c r="H3">
        <f>IFERROR(G3,99)</f>
      </c>
      <c r="I3">
        <f>_xlfn.IFNA(G3,99)</f>
      </c>
      <c r="J3">
        <f>ISERROR(G3)</f>
      </c>
    </row>
    <row r="4">
      <c r="A4" t="s">
        <v>3</v>
      </c>
      <c r="B4" t="n">
        <v>20</v>
      </c>
      <c r="F4" t="s">
        <v>12</v>
      </c>
      <c r="G4">
        <f>AVERAGEIF(A2,"EU",B2)</f>
      </c>
      <c r="H4">
        <f>IFERROR(G4,99)</f>
      </c>
      <c r="I4">
        <f>_xlfn.IFNA(G4,99)</f>
      </c>
      <c r="J4">
        <f>ISERROR(G4)</f>
      </c>
    </row>
    <row r="5">
      <c r="A5">
        <f>NA()</f>
      </c>
      <c r="B5" t="n">
        <v>30</v>
      </c>
      <c r="F5" t="s">
        <v>13</v>
      </c>
      <c r="G5">
        <f>AVERAGEIFS(B2,A2,"EU")</f>
      </c>
      <c r="H5">
        <f>IFERROR(G5,99)</f>
      </c>
      <c r="I5">
        <f>_xlfn.IFNA(G5,99)</f>
      </c>
      <c r="J5">
        <f>ISERROR(G5)</f>
      </c>
    </row>
    <row r="6">
      <c r="A6" t="s">
        <v>2</v>
      </c>
      <c r="B6" t="n">
        <v>20</v>
      </c>
      <c r="F6" t="s">
        <v>14</v>
      </c>
      <c r="G6">
        <f>_xlfn.MINIFS(B2,A2,"EU")</f>
      </c>
      <c r="H6">
        <f>IFERROR(G6,99)</f>
      </c>
      <c r="I6">
        <f>_xlfn.IFNA(G6,99)</f>
      </c>
      <c r="J6">
        <f>ISERROR(G6)</f>
      </c>
    </row>
    <row r="7">
      <c r="F7" t="s">
        <v>15</v>
      </c>
      <c r="G7">
        <f>_xlfn.MAXIFS(B2,A2,"EU")</f>
      </c>
      <c r="H7">
        <f>IFERROR(G7,99)</f>
      </c>
      <c r="I7">
        <f>_xlfn.IFNA(G7,99)</f>
      </c>
      <c r="J7">
        <f>ISERROR(G7)</f>
      </c>
    </row>
    <row r="8">
      <c r="A8" t="s">
        <v>4</v>
      </c>
      <c r="B8" t="n">
        <v>10</v>
      </c>
      <c r="F8" t="s">
        <v>16</v>
      </c>
      <c r="G8">
        <f>SUMIF(A2:A4,"EU",B2:B4)</f>
      </c>
      <c r="H8">
        <f>IFERROR(G8,99)</f>
      </c>
      <c r="I8">
        <f>_xlfn.IFNA(G8,99)</f>
      </c>
      <c r="J8">
        <f>ISERROR(G8)</f>
      </c>
    </row>
    <row r="9">
      <c r="A9" t="s">
        <v>2</v>
      </c>
      <c r="B9" t="n">
        <v>20</v>
      </c>
      <c r="F9" t="s">
        <v>17</v>
      </c>
      <c r="G9">
        <f>SUMIFS(B2:B4,A2:A4,"EU")</f>
      </c>
      <c r="H9">
        <f>IFERROR(G9,99)</f>
      </c>
      <c r="I9">
        <f>_xlfn.IFNA(G9,99)</f>
      </c>
      <c r="J9">
        <f>ISERROR(G9)</f>
      </c>
    </row>
    <row r="10">
      <c r="A10">
        <f>NA()</f>
      </c>
      <c r="B10" t="n">
        <v>30</v>
      </c>
      <c r="F10" t="s">
        <v>18</v>
      </c>
      <c r="G10">
        <f>AVERAGEIF(A2:A4,"EU",B2:B4)</f>
      </c>
      <c r="H10">
        <f>IFERROR(G10,99)</f>
      </c>
      <c r="I10">
        <f>_xlfn.IFNA(G10,99)</f>
      </c>
      <c r="J10">
        <f>ISERROR(G10)</f>
      </c>
    </row>
    <row r="11">
      <c r="A11">
        <f>1/0</f>
      </c>
      <c r="B11" t="n">
        <v>50</v>
      </c>
      <c r="F11" t="s">
        <v>19</v>
      </c>
      <c r="G11">
        <f>AVERAGEIFS(B2:B4,A2:A4,"EU")</f>
      </c>
      <c r="H11">
        <f>IFERROR(G11,99)</f>
      </c>
      <c r="I11">
        <f>_xlfn.IFNA(G11,99)</f>
      </c>
      <c r="J11">
        <f>ISERROR(G11)</f>
      </c>
    </row>
    <row r="12">
      <c r="F12" t="s">
        <v>20</v>
      </c>
      <c r="G12">
        <f>_xlfn.MINIFS(B2:B4,A2:A4,"EU")</f>
      </c>
      <c r="H12">
        <f>IFERROR(G12,99)</f>
      </c>
      <c r="I12">
        <f>_xlfn.IFNA(G12,99)</f>
      </c>
      <c r="J12">
        <f>ISERROR(G12)</f>
      </c>
    </row>
    <row r="13">
      <c r="F13" t="s">
        <v>21</v>
      </c>
      <c r="G13">
        <f>_xlfn.MAXIFS(B2:B4,A2:A4,"EU")</f>
      </c>
      <c r="H13">
        <f>IFERROR(G13,99)</f>
      </c>
      <c r="I13">
        <f>_xlfn.IFNA(G13,99)</f>
      </c>
      <c r="J13">
        <f>ISERROR(G13)</f>
      </c>
    </row>
    <row r="14">
      <c r="F14" t="s">
        <v>22</v>
      </c>
      <c r="G14">
        <f>SUMIF(A2:A4,"US",B2:B4)</f>
      </c>
      <c r="H14">
        <f>IFERROR(G14,99)</f>
      </c>
      <c r="I14">
        <f>_xlfn.IFNA(G14,99)</f>
      </c>
      <c r="J14">
        <f>ISERROR(G14)</f>
      </c>
    </row>
    <row r="15">
      <c r="F15" t="s">
        <v>23</v>
      </c>
      <c r="G15">
        <f>SUMIFS(B2:B4,A2:A4,"US")</f>
      </c>
      <c r="H15">
        <f>IFERROR(G15,99)</f>
      </c>
      <c r="I15">
        <f>_xlfn.IFNA(G15,99)</f>
      </c>
      <c r="J15">
        <f>ISERROR(G15)</f>
      </c>
    </row>
    <row r="16">
      <c r="F16" t="s">
        <v>24</v>
      </c>
      <c r="G16">
        <f>AVERAGEIF(A2:A4,"US",B2:B4)</f>
      </c>
      <c r="H16">
        <f>IFERROR(G16,99)</f>
      </c>
      <c r="I16">
        <f>_xlfn.IFNA(G16,99)</f>
      </c>
      <c r="J16">
        <f>ISERROR(G16)</f>
      </c>
    </row>
    <row r="17">
      <c r="F17" t="s">
        <v>25</v>
      </c>
      <c r="G17">
        <f>AVERAGEIFS(B2:B4,A2:A4,"US")</f>
      </c>
      <c r="H17">
        <f>IFERROR(G17,99)</f>
      </c>
      <c r="I17">
        <f>_xlfn.IFNA(G17,99)</f>
      </c>
      <c r="J17">
        <f>ISERROR(G17)</f>
      </c>
    </row>
    <row r="18">
      <c r="F18" t="s">
        <v>26</v>
      </c>
      <c r="G18">
        <f>_xlfn.MINIFS(B2:B4,A2:A4,"US")</f>
      </c>
      <c r="H18">
        <f>IFERROR(G18,99)</f>
      </c>
      <c r="I18">
        <f>_xlfn.IFNA(G18,99)</f>
      </c>
      <c r="J18">
        <f>ISERROR(G18)</f>
      </c>
    </row>
    <row r="19">
      <c r="F19" t="s">
        <v>27</v>
      </c>
      <c r="G19">
        <f>_xlfn.MAXIFS(B2:B4,A2:A4,"US")</f>
      </c>
      <c r="H19">
        <f>IFERROR(G19,99)</f>
      </c>
      <c r="I19">
        <f>_xlfn.IFNA(G19,99)</f>
      </c>
      <c r="J19">
        <f>ISERROR(G19)</f>
      </c>
    </row>
    <row r="20">
      <c r="F20" t="s">
        <v>28</v>
      </c>
      <c r="G20">
        <f>SUMIF(A2:A4,NA(),B2:B4)</f>
      </c>
      <c r="H20">
        <f>IFERROR(G20,99)</f>
      </c>
      <c r="I20">
        <f>_xlfn.IFNA(G20,99)</f>
      </c>
      <c r="J20">
        <f>ISERROR(G20)</f>
      </c>
    </row>
    <row r="21">
      <c r="F21" t="s">
        <v>29</v>
      </c>
      <c r="G21">
        <f>SUMIFS(B2:B4,A2:A4,NA())</f>
      </c>
      <c r="H21">
        <f>IFERROR(G21,99)</f>
      </c>
      <c r="I21">
        <f>_xlfn.IFNA(G21,99)</f>
      </c>
      <c r="J21">
        <f>ISERROR(G21)</f>
      </c>
    </row>
    <row r="22">
      <c r="F22" t="s">
        <v>30</v>
      </c>
      <c r="G22">
        <f>AVERAGEIF(A2:A4,NA(),B2:B4)</f>
      </c>
      <c r="H22">
        <f>IFERROR(G22,99)</f>
      </c>
      <c r="I22">
        <f>_xlfn.IFNA(G22,99)</f>
      </c>
      <c r="J22">
        <f>ISERROR(G22)</f>
      </c>
    </row>
    <row r="23">
      <c r="F23" t="s">
        <v>31</v>
      </c>
      <c r="G23">
        <f>AVERAGEIFS(B2:B4,A2:A4,NA())</f>
      </c>
      <c r="H23">
        <f>IFERROR(G23,99)</f>
      </c>
      <c r="I23">
        <f>_xlfn.IFNA(G23,99)</f>
      </c>
      <c r="J23">
        <f>ISERROR(G23)</f>
      </c>
    </row>
    <row r="24">
      <c r="F24" t="s">
        <v>32</v>
      </c>
      <c r="G24">
        <f>_xlfn.MINIFS(B2:B4,A2:A4,NA())</f>
      </c>
      <c r="H24">
        <f>IFERROR(G24,99)</f>
      </c>
      <c r="I24">
        <f>_xlfn.IFNA(G24,99)</f>
      </c>
      <c r="J24">
        <f>ISERROR(G24)</f>
      </c>
    </row>
    <row r="25">
      <c r="F25" t="s">
        <v>33</v>
      </c>
      <c r="G25">
        <f>_xlfn.MAXIFS(B2:B4,A2:A4,NA())</f>
      </c>
      <c r="H25">
        <f>IFERROR(G25,99)</f>
      </c>
      <c r="I25">
        <f>_xlfn.IFNA(G25,99)</f>
      </c>
      <c r="J25">
        <f>ISERROR(G25)</f>
      </c>
    </row>
    <row r="26">
      <c r="F26" t="s">
        <v>34</v>
      </c>
      <c r="G26">
        <f>COUNTIF(A2:A4,NA())</f>
      </c>
      <c r="H26">
        <f>IFERROR(G26,99)</f>
      </c>
      <c r="I26">
        <f>_xlfn.IFNA(G26,99)</f>
      </c>
      <c r="J26">
        <f>ISERROR(G26)</f>
      </c>
    </row>
    <row r="27">
      <c r="F27" t="s">
        <v>35</v>
      </c>
      <c r="G27">
        <f>COUNTIFS(A2:A4,NA())</f>
      </c>
      <c r="H27">
        <f>IFERROR(G27,99)</f>
      </c>
      <c r="I27">
        <f>_xlfn.IFNA(G27,99)</f>
      </c>
      <c r="J27">
        <f>ISERROR(G27)</f>
      </c>
    </row>
    <row r="28">
      <c r="F28" t="s">
        <v>36</v>
      </c>
      <c r="G28">
        <f>SUMIF(A5:A6,NA(),B5:B6)</f>
      </c>
      <c r="H28">
        <f>IFERROR(G28,99)</f>
      </c>
      <c r="I28">
        <f>_xlfn.IFNA(G28,99)</f>
      </c>
      <c r="J28">
        <f>ISERROR(G28)</f>
      </c>
    </row>
    <row r="29">
      <c r="F29" t="s">
        <v>37</v>
      </c>
      <c r="G29">
        <f>SUMIFS(B5:B6,A5:A6,NA())</f>
      </c>
      <c r="H29">
        <f>IFERROR(G29,99)</f>
      </c>
      <c r="I29">
        <f>_xlfn.IFNA(G29,99)</f>
      </c>
      <c r="J29">
        <f>ISERROR(G29)</f>
      </c>
    </row>
    <row r="30">
      <c r="F30" t="s">
        <v>38</v>
      </c>
      <c r="G30">
        <f>AVERAGEIF(A5:A6,NA(),B5:B6)</f>
      </c>
      <c r="H30">
        <f>IFERROR(G30,99)</f>
      </c>
      <c r="I30">
        <f>_xlfn.IFNA(G30,99)</f>
      </c>
      <c r="J30">
        <f>ISERROR(G30)</f>
      </c>
    </row>
    <row r="31">
      <c r="F31" t="s">
        <v>39</v>
      </c>
      <c r="G31">
        <f>AVERAGEIFS(B5:B6,A5:A6,NA())</f>
      </c>
      <c r="H31">
        <f>IFERROR(G31,99)</f>
      </c>
      <c r="I31">
        <f>_xlfn.IFNA(G31,99)</f>
      </c>
      <c r="J31">
        <f>ISERROR(G31)</f>
      </c>
    </row>
    <row r="32">
      <c r="F32" t="s">
        <v>40</v>
      </c>
      <c r="G32">
        <f>_xlfn.MINIFS(B5:B6,A5:A6,NA())</f>
      </c>
      <c r="H32">
        <f>IFERROR(G32,99)</f>
      </c>
      <c r="I32">
        <f>_xlfn.IFNA(G32,99)</f>
      </c>
      <c r="J32">
        <f>ISERROR(G32)</f>
      </c>
    </row>
    <row r="33">
      <c r="F33" t="s">
        <v>41</v>
      </c>
      <c r="G33">
        <f>_xlfn.MAXIFS(B5:B6,A5:A6,NA())</f>
      </c>
      <c r="H33">
        <f>IFERROR(G33,99)</f>
      </c>
      <c r="I33">
        <f>_xlfn.IFNA(G33,99)</f>
      </c>
      <c r="J33">
        <f>ISERROR(G33)</f>
      </c>
    </row>
    <row r="34">
      <c r="F34" t="s">
        <v>42</v>
      </c>
      <c r="G34">
        <f>COUNTIF(A5:A6,NA())</f>
      </c>
      <c r="H34">
        <f>IFERROR(G34,99)</f>
      </c>
      <c r="I34">
        <f>_xlfn.IFNA(G34,99)</f>
      </c>
      <c r="J34">
        <f>ISERROR(G34)</f>
      </c>
    </row>
    <row r="35">
      <c r="F35" t="s">
        <v>43</v>
      </c>
      <c r="G35">
        <f>COUNTIFS(A5:A6,NA())</f>
      </c>
      <c r="H35">
        <f>IFERROR(G35,99)</f>
      </c>
      <c r="I35">
        <f>_xlfn.IFNA(G35,99)</f>
      </c>
      <c r="J35">
        <f>ISERROR(G35)</f>
      </c>
    </row>
    <row r="36">
      <c r="F36" t="s">
        <v>44</v>
      </c>
      <c r="G36">
        <f>SUMIF(A2:A4,$D$2,B2:B4)</f>
      </c>
      <c r="H36">
        <f>IFERROR(G36,99)</f>
      </c>
      <c r="I36">
        <f>_xlfn.IFNA(G36,99)</f>
      </c>
      <c r="J36">
        <f>ISERROR(G36)</f>
      </c>
    </row>
    <row r="37">
      <c r="F37" t="s">
        <v>45</v>
      </c>
      <c r="G37">
        <f>SUMIFS(B2:B4,A2:A4,$D$2)</f>
      </c>
      <c r="H37">
        <f>IFERROR(G37,99)</f>
      </c>
      <c r="I37">
        <f>_xlfn.IFNA(G37,99)</f>
      </c>
      <c r="J37">
        <f>ISERROR(G37)</f>
      </c>
    </row>
    <row r="38">
      <c r="F38" t="s">
        <v>46</v>
      </c>
      <c r="G38">
        <f>AVERAGEIF(A2:A4,$D$2,B2:B4)</f>
      </c>
      <c r="H38">
        <f>IFERROR(G38,99)</f>
      </c>
      <c r="I38">
        <f>_xlfn.IFNA(G38,99)</f>
      </c>
      <c r="J38">
        <f>ISERROR(G38)</f>
      </c>
    </row>
    <row r="39">
      <c r="F39" t="s">
        <v>47</v>
      </c>
      <c r="G39">
        <f>AVERAGEIFS(B2:B4,A2:A4,$D$2)</f>
      </c>
      <c r="H39">
        <f>IFERROR(G39,99)</f>
      </c>
      <c r="I39">
        <f>_xlfn.IFNA(G39,99)</f>
      </c>
      <c r="J39">
        <f>ISERROR(G39)</f>
      </c>
    </row>
    <row r="40">
      <c r="F40" t="s">
        <v>48</v>
      </c>
      <c r="G40">
        <f>_xlfn.MINIFS(B2:B4,A2:A4,$D$2)</f>
      </c>
      <c r="H40">
        <f>IFERROR(G40,99)</f>
      </c>
      <c r="I40">
        <f>_xlfn.IFNA(G40,99)</f>
      </c>
      <c r="J40">
        <f>ISERROR(G40)</f>
      </c>
    </row>
    <row r="41">
      <c r="F41" t="s">
        <v>49</v>
      </c>
      <c r="G41">
        <f>_xlfn.MAXIFS(B2:B4,A2:A4,$D$2)</f>
      </c>
      <c r="H41">
        <f>IFERROR(G41,99)</f>
      </c>
      <c r="I41">
        <f>_xlfn.IFNA(G41,99)</f>
      </c>
      <c r="J41">
        <f>ISERROR(G41)</f>
      </c>
    </row>
    <row r="42">
      <c r="F42" t="s">
        <v>50</v>
      </c>
      <c r="G42">
        <f>COUNTIF(A2:A4,$D$2)</f>
      </c>
      <c r="H42">
        <f>IFERROR(G42,99)</f>
      </c>
      <c r="I42">
        <f>_xlfn.IFNA(G42,99)</f>
      </c>
      <c r="J42">
        <f>ISERROR(G42)</f>
      </c>
    </row>
    <row r="43">
      <c r="F43" t="s">
        <v>51</v>
      </c>
      <c r="G43">
        <f>COUNTIFS(A2:A4,$D$2)</f>
      </c>
      <c r="H43">
        <f>IFERROR(G43,99)</f>
      </c>
      <c r="I43">
        <f>_xlfn.IFNA(G43,99)</f>
      </c>
      <c r="J43">
        <f>ISERROR(G43)</f>
      </c>
    </row>
    <row r="44">
      <c r="F44" t="s">
        <v>52</v>
      </c>
      <c r="G44">
        <f>SUMIF(A8:A9,$D$2,B8:B9)</f>
      </c>
      <c r="H44">
        <f>IFERROR(G44,99)</f>
      </c>
      <c r="I44">
        <f>_xlfn.IFNA(G44,99)</f>
      </c>
      <c r="J44">
        <f>ISERROR(G44)</f>
      </c>
    </row>
    <row r="45">
      <c r="F45" t="s">
        <v>53</v>
      </c>
      <c r="G45">
        <f>SUMIFS(B8:B9,A8:A9,$D$2)</f>
      </c>
      <c r="H45">
        <f>IFERROR(G45,99)</f>
      </c>
      <c r="I45">
        <f>_xlfn.IFNA(G45,99)</f>
      </c>
      <c r="J45">
        <f>ISERROR(G45)</f>
      </c>
    </row>
    <row r="46">
      <c r="F46" t="s">
        <v>54</v>
      </c>
      <c r="G46">
        <f>AVERAGEIF(A8:A9,$D$2,B8:B9)</f>
      </c>
      <c r="H46">
        <f>IFERROR(G46,99)</f>
      </c>
      <c r="I46">
        <f>_xlfn.IFNA(G46,99)</f>
      </c>
      <c r="J46">
        <f>ISERROR(G46)</f>
      </c>
    </row>
    <row r="47">
      <c r="F47" t="s">
        <v>55</v>
      </c>
      <c r="G47">
        <f>AVERAGEIFS(B8:B9,A8:A9,$D$2)</f>
      </c>
      <c r="H47">
        <f>IFERROR(G47,99)</f>
      </c>
      <c r="I47">
        <f>_xlfn.IFNA(G47,99)</f>
      </c>
      <c r="J47">
        <f>ISERROR(G47)</f>
      </c>
    </row>
    <row r="48">
      <c r="F48" t="s">
        <v>56</v>
      </c>
      <c r="G48">
        <f>_xlfn.MINIFS(B8:B9,A8:A9,$D$2)</f>
      </c>
      <c r="H48">
        <f>IFERROR(G48,99)</f>
      </c>
      <c r="I48">
        <f>_xlfn.IFNA(G48,99)</f>
      </c>
      <c r="J48">
        <f>ISERROR(G48)</f>
      </c>
    </row>
    <row r="49">
      <c r="F49" t="s">
        <v>57</v>
      </c>
      <c r="G49">
        <f>_xlfn.MAXIFS(B8:B9,A8:A9,$D$2)</f>
      </c>
      <c r="H49">
        <f>IFERROR(G49,99)</f>
      </c>
      <c r="I49">
        <f>_xlfn.IFNA(G49,99)</f>
      </c>
      <c r="J49">
        <f>ISERROR(G49)</f>
      </c>
    </row>
    <row r="50">
      <c r="F50" t="s">
        <v>58</v>
      </c>
      <c r="G50">
        <f>COUNTIF(A8:A9,$D$2)</f>
      </c>
      <c r="H50">
        <f>IFERROR(G50,99)</f>
      </c>
      <c r="I50">
        <f>_xlfn.IFNA(G50,99)</f>
      </c>
      <c r="J50">
        <f>ISERROR(G50)</f>
      </c>
    </row>
    <row r="51">
      <c r="F51" t="s">
        <v>59</v>
      </c>
      <c r="G51">
        <f>COUNTIFS(A8:A9,$D$2)</f>
      </c>
      <c r="H51">
        <f>IFERROR(G51,99)</f>
      </c>
      <c r="I51">
        <f>_xlfn.IFNA(G51,99)</f>
      </c>
      <c r="J51">
        <f>ISERROR(G51)</f>
      </c>
    </row>
    <row r="52">
      <c r="F52" t="s">
        <v>60</v>
      </c>
      <c r="G52">
        <f>SUMIF(A8:A9,"#N/A",B8:B9)</f>
      </c>
      <c r="H52">
        <f>IFERROR(G52,99)</f>
      </c>
      <c r="I52">
        <f>_xlfn.IFNA(G52,99)</f>
      </c>
      <c r="J52">
        <f>ISERROR(G52)</f>
      </c>
    </row>
    <row r="53">
      <c r="F53" t="s">
        <v>61</v>
      </c>
      <c r="G53">
        <f>SUMIFS(B8:B9,A8:A9,"#N/A")</f>
      </c>
      <c r="H53">
        <f>IFERROR(G53,99)</f>
      </c>
      <c r="I53">
        <f>_xlfn.IFNA(G53,99)</f>
      </c>
      <c r="J53">
        <f>ISERROR(G53)</f>
      </c>
    </row>
    <row r="54">
      <c r="F54" t="s">
        <v>62</v>
      </c>
      <c r="G54">
        <f>AVERAGEIF(A8:A9,"#N/A",B8:B9)</f>
      </c>
      <c r="H54">
        <f>IFERROR(G54,99)</f>
      </c>
      <c r="I54">
        <f>_xlfn.IFNA(G54,99)</f>
      </c>
      <c r="J54">
        <f>ISERROR(G54)</f>
      </c>
    </row>
    <row r="55">
      <c r="F55" t="s">
        <v>63</v>
      </c>
      <c r="G55">
        <f>AVERAGEIFS(B8:B9,A8:A9,"#N/A")</f>
      </c>
      <c r="H55">
        <f>IFERROR(G55,99)</f>
      </c>
      <c r="I55">
        <f>_xlfn.IFNA(G55,99)</f>
      </c>
      <c r="J55">
        <f>ISERROR(G55)</f>
      </c>
    </row>
    <row r="56">
      <c r="F56" t="s">
        <v>64</v>
      </c>
      <c r="G56">
        <f>_xlfn.MINIFS(B8:B9,A8:A9,"#N/A")</f>
      </c>
      <c r="H56">
        <f>IFERROR(G56,99)</f>
      </c>
      <c r="I56">
        <f>_xlfn.IFNA(G56,99)</f>
      </c>
      <c r="J56">
        <f>ISERROR(G56)</f>
      </c>
    </row>
    <row r="57">
      <c r="F57" t="s">
        <v>65</v>
      </c>
      <c r="G57">
        <f>_xlfn.MAXIFS(B8:B9,A8:A9,"#N/A")</f>
      </c>
      <c r="H57">
        <f>IFERROR(G57,99)</f>
      </c>
      <c r="I57">
        <f>_xlfn.IFNA(G57,99)</f>
      </c>
      <c r="J57">
        <f>ISERROR(G57)</f>
      </c>
    </row>
    <row r="58">
      <c r="F58" t="s">
        <v>66</v>
      </c>
      <c r="G58">
        <f>COUNTIF(A8:A9,"#N/A")</f>
      </c>
      <c r="H58">
        <f>IFERROR(G58,99)</f>
      </c>
      <c r="I58">
        <f>_xlfn.IFNA(G58,99)</f>
      </c>
      <c r="J58">
        <f>ISERROR(G58)</f>
      </c>
    </row>
    <row r="59">
      <c r="F59" t="s">
        <v>67</v>
      </c>
      <c r="G59">
        <f>COUNTIFS(A8:A9,"#N/A")</f>
      </c>
      <c r="H59">
        <f>IFERROR(G59,99)</f>
      </c>
      <c r="I59">
        <f>_xlfn.IFNA(G59,99)</f>
      </c>
      <c r="J59">
        <f>ISERROR(G59)</f>
      </c>
    </row>
    <row r="60">
      <c r="F60" t="s">
        <v>68</v>
      </c>
      <c r="G60">
        <f>SUMIF(A5:A6,"EU",B5:B6)</f>
      </c>
      <c r="H60">
        <f>IFERROR(G60,99)</f>
      </c>
      <c r="I60">
        <f>_xlfn.IFNA(G60,99)</f>
      </c>
      <c r="J60">
        <f>ISERROR(G60)</f>
      </c>
    </row>
    <row r="61">
      <c r="F61" t="s">
        <v>69</v>
      </c>
      <c r="G61">
        <f>SUMIFS(B5:B6,A5:A6,"EU")</f>
      </c>
      <c r="H61">
        <f>IFERROR(G61,99)</f>
      </c>
      <c r="I61">
        <f>_xlfn.IFNA(G61,99)</f>
      </c>
      <c r="J61">
        <f>ISERROR(G61)</f>
      </c>
    </row>
    <row r="62">
      <c r="F62" t="s">
        <v>70</v>
      </c>
      <c r="G62">
        <f>AVERAGEIF(A5:A6,"EU",B5:B6)</f>
      </c>
      <c r="H62">
        <f>IFERROR(G62,99)</f>
      </c>
      <c r="I62">
        <f>_xlfn.IFNA(G62,99)</f>
      </c>
      <c r="J62">
        <f>ISERROR(G62)</f>
      </c>
    </row>
    <row r="63">
      <c r="F63" t="s">
        <v>71</v>
      </c>
      <c r="G63">
        <f>AVERAGEIFS(B5:B6,A5:A6,"EU")</f>
      </c>
      <c r="H63">
        <f>IFERROR(G63,99)</f>
      </c>
      <c r="I63">
        <f>_xlfn.IFNA(G63,99)</f>
      </c>
      <c r="J63">
        <f>ISERROR(G63)</f>
      </c>
    </row>
    <row r="64">
      <c r="F64" t="s">
        <v>72</v>
      </c>
      <c r="G64">
        <f>_xlfn.MINIFS(B5:B6,A5:A6,"EU")</f>
      </c>
      <c r="H64">
        <f>IFERROR(G64,99)</f>
      </c>
      <c r="I64">
        <f>_xlfn.IFNA(G64,99)</f>
      </c>
      <c r="J64">
        <f>ISERROR(G64)</f>
      </c>
    </row>
    <row r="65">
      <c r="F65" t="s">
        <v>73</v>
      </c>
      <c r="G65">
        <f>_xlfn.MAXIFS(B5:B6,A5:A6,"EU")</f>
      </c>
      <c r="H65">
        <f>IFERROR(G65,99)</f>
      </c>
      <c r="I65">
        <f>_xlfn.IFNA(G65,99)</f>
      </c>
      <c r="J65">
        <f>ISERROR(G65)</f>
      </c>
    </row>
    <row r="66">
      <c r="F66" t="s">
        <v>74</v>
      </c>
      <c r="G66">
        <f>COUNTIF(A5:A6,"EU")</f>
      </c>
      <c r="H66">
        <f>IFERROR(G66,99)</f>
      </c>
      <c r="I66">
        <f>_xlfn.IFNA(G66,99)</f>
      </c>
      <c r="J66">
        <f>ISERROR(G66)</f>
      </c>
    </row>
    <row r="67">
      <c r="F67" t="s">
        <v>75</v>
      </c>
      <c r="G67">
        <f>COUNTIFS(A5:A6,"EU")</f>
      </c>
      <c r="H67">
        <f>IFERROR(G67,99)</f>
      </c>
      <c r="I67">
        <f>_xlfn.IFNA(G67,99)</f>
      </c>
      <c r="J67">
        <f>ISERROR(G67)</f>
      </c>
    </row>
    <row r="68">
      <c r="F68" t="s">
        <v>76</v>
      </c>
      <c r="G68">
        <f>SUMIF(A5:A6,"#N/A",B5:B6)</f>
      </c>
      <c r="H68">
        <f>IFERROR(G68,99)</f>
      </c>
      <c r="I68">
        <f>_xlfn.IFNA(G68,99)</f>
      </c>
      <c r="J68">
        <f>ISERROR(G68)</f>
      </c>
    </row>
    <row r="69">
      <c r="F69" t="s">
        <v>77</v>
      </c>
      <c r="G69">
        <f>SUMIFS(B5:B6,A5:A6,"#N/A")</f>
      </c>
      <c r="H69">
        <f>IFERROR(G69,99)</f>
      </c>
      <c r="I69">
        <f>_xlfn.IFNA(G69,99)</f>
      </c>
      <c r="J69">
        <f>ISERROR(G69)</f>
      </c>
    </row>
    <row r="70">
      <c r="F70" t="s">
        <v>78</v>
      </c>
      <c r="G70">
        <f>AVERAGEIF(A5:A6,"#N/A",B5:B6)</f>
      </c>
      <c r="H70">
        <f>IFERROR(G70,99)</f>
      </c>
      <c r="I70">
        <f>_xlfn.IFNA(G70,99)</f>
      </c>
      <c r="J70">
        <f>ISERROR(G70)</f>
      </c>
    </row>
    <row r="71">
      <c r="F71" t="s">
        <v>79</v>
      </c>
      <c r="G71">
        <f>AVERAGEIFS(B5:B6,A5:A6,"#N/A")</f>
      </c>
      <c r="H71">
        <f>IFERROR(G71,99)</f>
      </c>
      <c r="I71">
        <f>_xlfn.IFNA(G71,99)</f>
      </c>
      <c r="J71">
        <f>ISERROR(G71)</f>
      </c>
    </row>
    <row r="72">
      <c r="F72" t="s">
        <v>80</v>
      </c>
      <c r="G72">
        <f>_xlfn.MINIFS(B5:B6,A5:A6,"#N/A")</f>
      </c>
      <c r="H72">
        <f>IFERROR(G72,99)</f>
      </c>
      <c r="I72">
        <f>_xlfn.IFNA(G72,99)</f>
      </c>
      <c r="J72">
        <f>ISERROR(G72)</f>
      </c>
    </row>
    <row r="73">
      <c r="F73" t="s">
        <v>81</v>
      </c>
      <c r="G73">
        <f>_xlfn.MAXIFS(B5:B6,A5:A6,"#N/A")</f>
      </c>
      <c r="H73">
        <f>IFERROR(G73,99)</f>
      </c>
      <c r="I73">
        <f>_xlfn.IFNA(G73,99)</f>
      </c>
      <c r="J73">
        <f>ISERROR(G73)</f>
      </c>
    </row>
    <row r="74">
      <c r="F74" t="s">
        <v>82</v>
      </c>
      <c r="G74">
        <f>COUNTIF(A5:A6,"#N/A")</f>
      </c>
      <c r="H74">
        <f>IFERROR(G74,99)</f>
      </c>
      <c r="I74">
        <f>_xlfn.IFNA(G74,99)</f>
      </c>
      <c r="J74">
        <f>ISERROR(G74)</f>
      </c>
    </row>
    <row r="75">
      <c r="F75" t="s">
        <v>83</v>
      </c>
      <c r="G75">
        <f>COUNTIFS(A5:A6,"#N/A")</f>
      </c>
      <c r="H75">
        <f>IFERROR(G75,99)</f>
      </c>
      <c r="I75">
        <f>_xlfn.IFNA(G75,99)</f>
      </c>
      <c r="J75">
        <f>ISERROR(G75)</f>
      </c>
    </row>
    <row r="76">
      <c r="F76" t="s">
        <v>84</v>
      </c>
      <c r="G76">
        <f>SUMIF(A10:A11,NA(),B10:B11)</f>
      </c>
      <c r="H76">
        <f>IFERROR(G76,99)</f>
      </c>
      <c r="I76">
        <f>_xlfn.IFNA(G76,99)</f>
      </c>
      <c r="J76">
        <f>ISERROR(G76)</f>
      </c>
    </row>
    <row r="77">
      <c r="F77" t="s">
        <v>85</v>
      </c>
      <c r="G77">
        <f>SUMIFS(B10:B11,A10:A11,NA())</f>
      </c>
      <c r="H77">
        <f>IFERROR(G77,99)</f>
      </c>
      <c r="I77">
        <f>_xlfn.IFNA(G77,99)</f>
      </c>
      <c r="J77">
        <f>ISERROR(G77)</f>
      </c>
    </row>
    <row r="78">
      <c r="F78" t="s">
        <v>86</v>
      </c>
      <c r="G78">
        <f>AVERAGEIF(A10:A11,NA(),B10:B11)</f>
      </c>
      <c r="H78">
        <f>IFERROR(G78,99)</f>
      </c>
      <c r="I78">
        <f>_xlfn.IFNA(G78,99)</f>
      </c>
      <c r="J78">
        <f>ISERROR(G78)</f>
      </c>
    </row>
    <row r="79">
      <c r="F79" t="s">
        <v>87</v>
      </c>
      <c r="G79">
        <f>AVERAGEIFS(B10:B11,A10:A11,NA())</f>
      </c>
      <c r="H79">
        <f>IFERROR(G79,99)</f>
      </c>
      <c r="I79">
        <f>_xlfn.IFNA(G79,99)</f>
      </c>
      <c r="J79">
        <f>ISERROR(G79)</f>
      </c>
    </row>
    <row r="80">
      <c r="F80" t="s">
        <v>88</v>
      </c>
      <c r="G80">
        <f>_xlfn.MINIFS(B10:B11,A10:A11,NA())</f>
      </c>
      <c r="H80">
        <f>IFERROR(G80,99)</f>
      </c>
      <c r="I80">
        <f>_xlfn.IFNA(G80,99)</f>
      </c>
      <c r="J80">
        <f>ISERROR(G80)</f>
      </c>
    </row>
    <row r="81">
      <c r="F81" t="s">
        <v>89</v>
      </c>
      <c r="G81">
        <f>_xlfn.MAXIFS(B10:B11,A10:A11,NA())</f>
      </c>
      <c r="H81">
        <f>IFERROR(G81,99)</f>
      </c>
      <c r="I81">
        <f>_xlfn.IFNA(G81,99)</f>
      </c>
      <c r="J81">
        <f>ISERROR(G81)</f>
      </c>
    </row>
    <row r="82">
      <c r="F82" t="s">
        <v>90</v>
      </c>
      <c r="G82">
        <f>COUNTIF(A10:A11,NA())</f>
      </c>
      <c r="H82">
        <f>IFERROR(G82,99)</f>
      </c>
      <c r="I82">
        <f>_xlfn.IFNA(G82,99)</f>
      </c>
      <c r="J82">
        <f>ISERROR(G82)</f>
      </c>
    </row>
    <row r="83">
      <c r="F83" t="s">
        <v>91</v>
      </c>
      <c r="G83">
        <f>COUNTIFS(A10:A11,NA())</f>
      </c>
      <c r="H83">
        <f>IFERROR(G83,99)</f>
      </c>
      <c r="I83">
        <f>_xlfn.IFNA(G83,99)</f>
      </c>
      <c r="J83">
        <f>ISERROR(G83)</f>
      </c>
    </row>
    <row r="84">
      <c r="F84" t="s">
        <v>92</v>
      </c>
      <c r="G84">
        <f>SUMIF(A10:A11,1/0,B10:B11)</f>
      </c>
      <c r="H84">
        <f>IFERROR(G84,99)</f>
      </c>
      <c r="I84">
        <f>_xlfn.IFNA(G84,99)</f>
      </c>
      <c r="J84">
        <f>ISERROR(G84)</f>
      </c>
    </row>
    <row r="85">
      <c r="F85" t="s">
        <v>93</v>
      </c>
      <c r="G85">
        <f>SUMIFS(B10:B11,A10:A11,1/0)</f>
      </c>
      <c r="H85">
        <f>IFERROR(G85,99)</f>
      </c>
      <c r="I85">
        <f>_xlfn.IFNA(G85,99)</f>
      </c>
      <c r="J85">
        <f>ISERROR(G85)</f>
      </c>
    </row>
    <row r="86">
      <c r="F86" t="s">
        <v>94</v>
      </c>
      <c r="G86">
        <f>AVERAGEIF(A10:A11,1/0,B10:B11)</f>
      </c>
      <c r="H86">
        <f>IFERROR(G86,99)</f>
      </c>
      <c r="I86">
        <f>_xlfn.IFNA(G86,99)</f>
      </c>
      <c r="J86">
        <f>ISERROR(G86)</f>
      </c>
    </row>
    <row r="87">
      <c r="F87" t="s">
        <v>95</v>
      </c>
      <c r="G87">
        <f>AVERAGEIFS(B10:B11,A10:A11,1/0)</f>
      </c>
      <c r="H87">
        <f>IFERROR(G87,99)</f>
      </c>
      <c r="I87">
        <f>_xlfn.IFNA(G87,99)</f>
      </c>
      <c r="J87">
        <f>ISERROR(G87)</f>
      </c>
    </row>
    <row r="88">
      <c r="F88" t="s">
        <v>96</v>
      </c>
      <c r="G88">
        <f>_xlfn.MINIFS(B10:B11,A10:A11,1/0)</f>
      </c>
      <c r="H88">
        <f>IFERROR(G88,99)</f>
      </c>
      <c r="I88">
        <f>_xlfn.IFNA(G88,99)</f>
      </c>
      <c r="J88">
        <f>ISERROR(G88)</f>
      </c>
    </row>
    <row r="89">
      <c r="F89" t="s">
        <v>97</v>
      </c>
      <c r="G89">
        <f>_xlfn.MAXIFS(B10:B11,A10:A11,1/0)</f>
      </c>
      <c r="H89">
        <f>IFERROR(G89,99)</f>
      </c>
      <c r="I89">
        <f>_xlfn.IFNA(G89,99)</f>
      </c>
      <c r="J89">
        <f>ISERROR(G89)</f>
      </c>
    </row>
    <row r="90">
      <c r="F90" t="s">
        <v>98</v>
      </c>
      <c r="G90">
        <f>COUNTIF(A10:A11,1/0)</f>
      </c>
      <c r="H90">
        <f>IFERROR(G90,99)</f>
      </c>
      <c r="I90">
        <f>_xlfn.IFNA(G90,99)</f>
      </c>
      <c r="J90">
        <f>ISERROR(G90)</f>
      </c>
    </row>
    <row r="91">
      <c r="F91" t="s">
        <v>99</v>
      </c>
      <c r="G91">
        <f>COUNTIFS(A10:A11,1/0)</f>
      </c>
      <c r="H91">
        <f>IFERROR(G91,99)</f>
      </c>
      <c r="I91">
        <f>_xlfn.IFNA(G91,99)</f>
      </c>
      <c r="J91">
        <f>ISERROR(G91)</f>
      </c>
    </row>
    <row r="92">
      <c r="F92" t="s">
        <v>100</v>
      </c>
      <c r="G92">
        <f>SUMIF(A5,"&lt;&gt;EU",B5)</f>
      </c>
      <c r="H92">
        <f>IFERROR(G92,99)</f>
      </c>
      <c r="I92">
        <f>_xlfn.IFNA(G92,99)</f>
      </c>
      <c r="J92">
        <f>ISERROR(G92)</f>
      </c>
    </row>
    <row r="93">
      <c r="F93" t="s">
        <v>101</v>
      </c>
      <c r="G93">
        <f>COUNTIF(A5,"&lt;&gt;EU")</f>
      </c>
      <c r="H93">
        <f>IFERROR(G93,99)</f>
      </c>
      <c r="I93">
        <f>_xlfn.IFNA(G93,99)</f>
      </c>
      <c r="J93">
        <f>ISERROR(G93)</f>
      </c>
    </row>
    <row r="94">
      <c r="F94" t="s">
        <v>102</v>
      </c>
      <c r="G94">
        <f>SUMIF(A5,"&lt;&gt;",B5)</f>
      </c>
      <c r="H94">
        <f>IFERROR(G94,99)</f>
      </c>
      <c r="I94">
        <f>_xlfn.IFNA(G94,99)</f>
      </c>
      <c r="J94">
        <f>ISERROR(G94)</f>
      </c>
    </row>
    <row r="95">
      <c r="F95" t="s">
        <v>103</v>
      </c>
      <c r="G95">
        <f>COUNTIF(A5,"&lt;&gt;")</f>
      </c>
      <c r="H95">
        <f>IFERROR(G95,99)</f>
      </c>
      <c r="I95">
        <f>_xlfn.IFNA(G95,99)</f>
      </c>
      <c r="J95">
        <f>ISERROR(G95)</f>
      </c>
    </row>
    <row r="96">
      <c r="F96" t="s">
        <v>104</v>
      </c>
      <c r="G96">
        <f>SUMIF(A5,"*",B5)</f>
      </c>
      <c r="H96">
        <f>IFERROR(G96,99)</f>
      </c>
      <c r="I96">
        <f>_xlfn.IFNA(G96,99)</f>
      </c>
      <c r="J96">
        <f>ISERROR(G96)</f>
      </c>
    </row>
    <row r="97">
      <c r="F97" t="s">
        <v>105</v>
      </c>
      <c r="G97">
        <f>COUNTIF(A5,"*")</f>
      </c>
      <c r="H97">
        <f>IFERROR(G97,99)</f>
      </c>
      <c r="I97">
        <f>_xlfn.IFNA(G97,99)</f>
      </c>
      <c r="J97">
        <f>ISERROR(G97)</f>
      </c>
    </row>
    <row r="98">
      <c r="F98" t="s">
        <v>106</v>
      </c>
      <c r="G98">
        <f>SUMIF(A5,"&gt;=EU",B5)</f>
      </c>
      <c r="H98">
        <f>IFERROR(G98,99)</f>
      </c>
      <c r="I98">
        <f>_xlfn.IFNA(G98,99)</f>
      </c>
      <c r="J98">
        <f>ISERROR(G98)</f>
      </c>
    </row>
    <row r="99">
      <c r="F99" t="s">
        <v>107</v>
      </c>
      <c r="G99">
        <f>COUNTIF(A5,"&gt;=EU")</f>
      </c>
      <c r="H99">
        <f>IFERROR(G99,99)</f>
      </c>
      <c r="I99">
        <f>_xlfn.IFNA(G99,99)</f>
      </c>
      <c r="J99">
        <f>ISERROR(G99)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