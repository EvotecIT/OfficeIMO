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qualified-function-storage/native/"/>
    </mc:Choice>
  </mc:AlternateContent>
  <xr:revisionPtr revIDLastSave="0" documentId="8_{A50F3CDB-012A-D744-A5DF-BF5C7DA78E59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Future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 a="1"/>
  <c r="H9" i="1" s="1"/>
  <c r="G9" i="1" a="1"/>
  <c r="G9" i="1" s="1"/>
  <c r="F9" i="1"/>
  <c r="E9" i="1"/>
  <c r="H8" i="1" a="1"/>
  <c r="H8" i="1" s="1"/>
  <c r="G8" i="1" a="1"/>
  <c r="G8" i="1" s="1"/>
  <c r="F8" i="1"/>
  <c r="E8" i="1"/>
  <c r="H7" i="1" a="1"/>
  <c r="H7" i="1" s="1"/>
  <c r="G7" i="1" a="1"/>
  <c r="G7" i="1" s="1"/>
  <c r="F7" i="1"/>
  <c r="E7" i="1"/>
  <c r="H6" i="1" a="1"/>
  <c r="H6" i="1" s="1"/>
  <c r="G6" i="1" a="1"/>
  <c r="G6" i="1"/>
  <c r="F6" i="1"/>
  <c r="E6" i="1"/>
  <c r="H5" i="1" a="1"/>
  <c r="H5" i="1" s="1"/>
  <c r="G5" i="1" a="1"/>
  <c r="G5" i="1"/>
  <c r="F5" i="1"/>
  <c r="E5" i="1"/>
  <c r="H4" i="1" a="1"/>
  <c r="H4" i="1"/>
  <c r="G4" i="1" a="1"/>
  <c r="G4" i="1"/>
  <c r="F4" i="1"/>
  <c r="E4" i="1"/>
  <c r="H3" i="1" a="1"/>
  <c r="H3" i="1"/>
  <c r="G3" i="1" a="1"/>
  <c r="G3" i="1"/>
  <c r="F3" i="1"/>
  <c r="E3" i="1"/>
  <c r="H2" i="1" a="1"/>
  <c r="H2" i="1"/>
  <c r="G2" i="1" a="1"/>
  <c r="G2" i="1" s="1"/>
  <c r="F2" i="1"/>
  <c r="E2" i="1"/>
</calcChain>
</file>

<file path=xl/sharedStrings.xml><?xml version="1.0" encoding="utf-8"?>
<sst xmlns="http://schemas.openxmlformats.org/spreadsheetml/2006/main" count="18" uniqueCount="17">
  <si>
    <t>Region</t>
  </si>
  <si>
    <t>Amount</t>
  </si>
  <si>
    <t>EU</t>
  </si>
  <si>
    <t>US</t>
  </si>
  <si>
    <t>Case</t>
  </si>
  <si>
    <t>Normal</t>
  </si>
  <si>
    <t>Qualified control</t>
  </si>
  <si>
    <t>Array</t>
  </si>
  <si>
    <t>Qualified array</t>
  </si>
  <si>
    <t>IFNA(NA(),99)</t>
  </si>
  <si>
    <t>IFNA(1/0,99)</t>
  </si>
  <si>
    <t>MINIFS(B2:B4,A2:A4,"EU")</t>
  </si>
  <si>
    <t>MAXIFS(B2:B4,A2:A4,"EU")</t>
  </si>
  <si>
    <t>MINIFS(B2:B4,A2:A4,"missing")</t>
  </si>
  <si>
    <t>MAXIFS(B2:B4,A2:A4,"missing")</t>
  </si>
  <si>
    <t>IFNA(MINIFS(B2:B4,A2:A4,"EU"),99)</t>
  </si>
  <si>
    <t>ifna(maxifs(B2:B4,A2:A4,"EU"),99)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</si>
</sst>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3" sqref="B3"/>
    </sheetView>
  </sheetViews>
  <sheetFormatPr baseColWidth="10" defaultRowHeight="16" x14ac:dyDescent="0.2"/>
  <cols>
    <col min="1" max="2" width="10" customWidth="1"/>
    <col min="3" max="3" width="3" customWidth="1"/>
    <col min="4" max="4" width="52" customWidth="1"/>
    <col min="5" max="5" width="15" customWidth="1"/>
    <col min="6" max="6" width="18" customWidth="1"/>
    <col min="7" max="7" width="15" customWidth="1"/>
    <col min="8" max="8" width="18" customWidth="1"/>
  </cols>
  <sheetData>
    <row r="1" spans="1:8" ht="15" x14ac:dyDescent="0.2">
      <c r="A1" t="s">
        <v>0</v>
      </c>
      <c r="B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" x14ac:dyDescent="0.2">
      <c r="A2" t="s">
        <v>2</v>
      </c>
      <c r="B2">
        <v>50</v>
      </c>
      <c r="D2" t="s">
        <v>9</v>
      </c>
      <c r="E2">
        <f>_xlfn.IFNA(NA(),99)</f>
        <v>99</v>
      </c>
      <c r="F2">
        <f>_xlfn.IFNA(NA(),99)</f>
        <v>99</v>
      </c>
      <c r="G2">
        <f t="array" ref="G2">_xlfn.IFNA(NA(),99)</f>
        <v>99</v>
      </c>
      <c r="H2">
        <f t="array" ref="H2">_xlfn.IFNA(NA(),99)</f>
        <v>99</v>
      </c>
    </row>
    <row r="3" spans="1:8" ht="15" x14ac:dyDescent="0.2">
      <c r="A3" t="s">
        <v>2</v>
      </c>
      <c r="B3">
        <v>30</v>
      </c>
      <c r="D3" t="s">
        <v>10</v>
      </c>
      <c r="E3" t="e">
        <f>_xlfn.IFNA(1/0,99)</f>
        <v>#DIV/0!</v>
      </c>
      <c r="F3" t="e">
        <f>_xlfn.IFNA(1/0,99)</f>
        <v>#DIV/0!</v>
      </c>
      <c r="G3" t="e">
        <f t="array" ref="G3">_xlfn.IFNA(1/0,99)</f>
        <v>#DIV/0!</v>
      </c>
      <c r="H3" t="e">
        <f t="array" ref="H3">_xlfn.IFNA(1/0,99)</f>
        <v>#DIV/0!</v>
      </c>
    </row>
    <row r="4" spans="1:8" ht="15" x14ac:dyDescent="0.2">
      <c r="A4" t="s">
        <v>3</v>
      </c>
      <c r="B4">
        <v>20</v>
      </c>
      <c r="D4" t="s">
        <v>11</v>
      </c>
      <c r="E4">
        <f>_xlfn.MINIFS(B2:B4,A2:A4,"EU")</f>
        <v>30</v>
      </c>
      <c r="F4">
        <f>_xlfn.MINIFS(B2:B4,A2:A4,"EU")</f>
        <v>30</v>
      </c>
      <c r="G4">
        <f t="array" ref="G4">_xlfn.MINIFS(B2:B4,A2:A4,"EU")</f>
        <v>30</v>
      </c>
      <c r="H4">
        <f t="array" ref="H4">_xlfn.MINIFS(B2:B4,A2:A4,"EU")</f>
        <v>30</v>
      </c>
    </row>
    <row r="5" spans="1:8" ht="15" x14ac:dyDescent="0.2">
      <c r="D5" t="s">
        <v>12</v>
      </c>
      <c r="E5">
        <f>_xlfn.MAXIFS(B2:B4,A2:A4,"EU")</f>
        <v>50</v>
      </c>
      <c r="F5">
        <f>_xlfn.MAXIFS(B2:B4,A2:A4,"EU")</f>
        <v>50</v>
      </c>
      <c r="G5">
        <f t="array" ref="G5">_xlfn.MAXIFS(B2:B4,A2:A4,"EU")</f>
        <v>50</v>
      </c>
      <c r="H5">
        <f t="array" ref="H5">_xlfn.MAXIFS(B2:B4,A2:A4,"EU")</f>
        <v>50</v>
      </c>
    </row>
    <row r="6" spans="1:8" ht="15" x14ac:dyDescent="0.2">
      <c r="D6" t="s">
        <v>13</v>
      </c>
      <c r="E6">
        <f>_xlfn.MINIFS(B2:B4,A2:A4,"missing")</f>
        <v>0</v>
      </c>
      <c r="F6">
        <f>_xlfn.MINIFS(B2:B4,A2:A4,"missing")</f>
        <v>0</v>
      </c>
      <c r="G6">
        <f t="array" ref="G6">_xlfn.MINIFS(B2:B4,A2:A4,"missing")</f>
        <v>0</v>
      </c>
      <c r="H6">
        <f t="array" ref="H6">_xlfn.MINIFS(B2:B4,A2:A4,"missing")</f>
        <v>0</v>
      </c>
    </row>
    <row r="7" spans="1:8" ht="15" x14ac:dyDescent="0.2">
      <c r="D7" t="s">
        <v>14</v>
      </c>
      <c r="E7">
        <f>_xlfn.MAXIFS(B2:B4,A2:A4,"missing")</f>
        <v>0</v>
      </c>
      <c r="F7">
        <f>_xlfn.MAXIFS(B2:B4,A2:A4,"missing")</f>
        <v>0</v>
      </c>
      <c r="G7">
        <f t="array" ref="G7">_xlfn.MAXIFS(B2:B4,A2:A4,"missing")</f>
        <v>0</v>
      </c>
      <c r="H7">
        <f t="array" ref="H7">_xlfn.MAXIFS(B2:B4,A2:A4,"missing")</f>
        <v>0</v>
      </c>
    </row>
    <row r="8" spans="1:8" ht="15" x14ac:dyDescent="0.2">
      <c r="D8" t="s">
        <v>15</v>
      </c>
      <c r="E8">
        <f>_xlfn.IFNA(_xlfn.MINIFS(B2:B4,A2:A4,"EU"),99)</f>
        <v>30</v>
      </c>
      <c r="F8">
        <f>_xlfn.IFNA(_xlfn.MINIFS(B2:B4,A2:A4,"EU"),99)</f>
        <v>30</v>
      </c>
      <c r="G8">
        <f t="array" ref="G8">_xlfn.IFNA(_xlfn.MINIFS(B2:B4,A2:A4,"EU"),99)</f>
        <v>30</v>
      </c>
      <c r="H8">
        <f t="array" ref="H8">_xlfn.IFNA(_xlfn.MINIFS(B2:B4,A2:A4,"EU"),99)</f>
        <v>30</v>
      </c>
    </row>
    <row r="9" spans="1:8" ht="15" x14ac:dyDescent="0.2">
      <c r="D9" t="s">
        <v>16</v>
      </c>
      <c r="E9">
        <f>_xlfn.IFNA(_xlfn.MAXIFS(B2:B4,A2:A4,"EU"),99)</f>
        <v>50</v>
      </c>
      <c r="F9">
        <f>_xlfn.IFNA(_xlfn.MAXIFS(B2:B4,A2:A4,"EU"),99)</f>
        <v>50</v>
      </c>
      <c r="G9">
        <f t="array" ref="G9">_xlfn.IFNA(_xlfn.MAXIFS(B2:B4,A2:A4,"EU"),99)</f>
        <v>50</v>
      </c>
      <c r="H9">
        <f t="array" ref="H9">_xlfn.IFNA(_xlfn.MAXIFS(B2:B4,A2:A4,"EU"),99)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Future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2026-10-11T13:18:17Z</dcterms:created>
  <dcterms:modified xsi:type="dcterms:W3CDTF">2026-10-11T13:18:45Z</dcterms:modified>
</cp:coreProperties>
</file>