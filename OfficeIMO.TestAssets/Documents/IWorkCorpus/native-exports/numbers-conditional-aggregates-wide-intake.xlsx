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Criteria" sheetId="1" r:id="rId1"/>
  </sheets>
</workbook>
</file>

<file path=xl/sharedStrings.xml><?xml version="1.0" encoding="utf-8"?>
<x:sst xmlns:x="http://schemas.openxmlformats.org/spreadsheetml/2006/main" count="43" uniqueCount="33">
  <x:si>
    <x:t>Region</x:t>
  </x:si>
  <x:si>
    <x:t>Status</x:t>
  </x:si>
  <x:si>
    <x:t>Value</x:t>
  </x:si>
  <x:si>
    <x:t>Units</x:t>
  </x:si>
  <x:si>
    <x:t>Case</x:t>
  </x:si>
  <x:si>
    <x:t>Result</x:t>
  </x:si>
  <x:si>
    <x:t>EU</x:t>
  </x:si>
  <x:si>
    <x:t>Open</x:t>
  </x:si>
  <x:si>
    <x:t>Closed</x:t>
  </x:si>
  <x:si>
    <x:t>US</x:t>
  </x:si>
  <x:si>
    <x:t>eu</x:t>
  </x:si>
  <x:si>
    <x:t>E*</x:t>
  </x:si>
  <x:si>
    <x:t>&gt;=20</x:t>
  </x:si>
  <x:si>
    <x:t>Sum two criteria</x:t>
  </x:si>
  <x:si>
    <x:t>Count two criteria</x:t>
  </x:si>
  <x:si>
    <x:t>Average named region</x:t>
  </x:si>
  <x:si>
    <x:t>Average two criteria</x:t>
  </x:si>
  <x:si>
    <x:t>Sum numeric criterion</x:t>
  </x:si>
  <x:si>
    <x:t>Count numeric criteria</x:t>
  </x:si>
  <x:si>
    <x:t>Sum wildcard</x:t>
  </x:si>
  <x:si>
    <x:t>Sum literal wildcard</x:t>
  </x:si>
  <x:si>
    <x:t>Count not equal</x:t>
  </x:si>
  <x:si>
    <x:t>Average missing guard</x:t>
  </x:si>
  <x:si>
    <x:t>Average numeric range</x:t>
  </x:si>
  <x:si>
    <x:t>Average closed</x:t>
  </x:si>
  <x:si>
    <x:t>Sum no matches</x:t>
  </x:si>
  <x:si>
    <x:t>Count no matches</x:t>
  </x:si>
  <x:si>
    <x:t>Count single cell</x:t>
  </x:si>
  <x:si>
    <x:t>Sum single cell</x:t>
  </x:si>
  <x:si>
    <x:t>Average single cell</x:t>
  </x:si>
  <x:si>
    <x:t>Average if single cell</x:t>
  </x:si>
  <x:si>
    <x:t>Sum criterion cells</x:t>
  </x:si>
  <x:si>
    <x:t>Count zero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</x:si>
</x:sst>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21"/>
  <x:sheetViews xmlns:x="http://schemas.openxmlformats.org/spreadsheetml/2006/main">
    <x:sheetView workbookViewId="0">
      <x:selection activeCell="A1" sqref="A1"/>
    </x:sheetView>
  </x:sheetViews>
  <cols>
    <col min="1" max="1" width="12" customWidth="1"/>
    <col min="2" max="2" width="12" customWidth="1"/>
    <col min="3" max="3" width="10" customWidth="1"/>
    <col min="4" max="4" width="10" customWidth="1"/>
    <col min="5" max="5" width="3" customWidth="1"/>
    <col min="6" max="6" width="36" customWidth="1"/>
    <col min="7" max="7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tr">
        <v/>
      </c>
      <c r="F1" t="s">
        <v>4</v>
      </c>
      <c r="G1" t="s">
        <v>5</v>
      </c>
    </row>
    <row r="2">
      <c r="A2" t="s">
        <v>6</v>
      </c>
      <c r="B2" t="s">
        <v>7</v>
      </c>
      <c r="C2" t="n">
        <v>10</v>
      </c>
      <c r="D2" t="n">
        <v>1</v>
      </c>
      <c r="F2" t="s">
        <v>13</v>
      </c>
      <c r="G2">
        <f>SUMIFS(C2:C9,A2:A9,"EU",C2:C9,"&gt;=0")</f>
      </c>
    </row>
    <row r="3">
      <c r="A3" t="s">
        <v>6</v>
      </c>
      <c r="B3" t="s">
        <v>8</v>
      </c>
      <c r="C3" t="n">
        <v>20</v>
      </c>
      <c r="D3" t="n">
        <v>2</v>
      </c>
      <c r="F3" t="s">
        <v>14</v>
      </c>
      <c r="G3">
        <f>COUNTIFS(A2:A9,"EU",B2:B9,"Open")</f>
      </c>
    </row>
    <row r="4">
      <c r="A4" t="s">
        <v>9</v>
      </c>
      <c r="B4" t="s">
        <v>7</v>
      </c>
      <c r="C4" t="n">
        <v>30</v>
      </c>
      <c r="D4" t="n">
        <v>3</v>
      </c>
      <c r="F4" t="s">
        <v>15</v>
      </c>
      <c r="G4">
        <f>AVERAGEIF(A2:A9,"EU",C2:C9)</f>
      </c>
    </row>
    <row r="5">
      <c r="A5" t="s">
        <v>10</v>
      </c>
      <c r="B5" t="s">
        <v>7</v>
      </c>
      <c r="C5" t="n">
        <v>40</v>
      </c>
      <c r="D5" t="n">
        <v>4</v>
      </c>
      <c r="F5" t="s">
        <v>16</v>
      </c>
      <c r="G5">
        <f>AVERAGEIFS(C2:C9,A2:A9,"EU",B2:B9,"Open")</f>
      </c>
    </row>
    <row r="6">
      <c r="A6" t="s">
        <v>11</v>
      </c>
      <c r="B6" t="s">
        <v>7</v>
      </c>
      <c r="C6" t="n">
        <v>50</v>
      </c>
      <c r="D6" t="n">
        <v>5</v>
      </c>
      <c r="F6" t="s">
        <v>17</v>
      </c>
      <c r="G6">
        <f>SUMIFS(C2:C9,D2:D9,"&gt;=2")</f>
      </c>
    </row>
    <row r="7">
      <c r="A7" t="str">
        <v/>
      </c>
      <c r="B7" t="s">
        <v>7</v>
      </c>
      <c r="C7" t="n">
        <v>60</v>
      </c>
      <c r="D7" t="n">
        <v>0</v>
      </c>
      <c r="F7" t="s">
        <v>18</v>
      </c>
      <c r="G7">
        <f>COUNTIFS(C2:C9,"&gt;=20",D2:D9,"&gt;=2")</f>
      </c>
    </row>
    <row r="8">
      <c r="A8" t="s">
        <v>6</v>
      </c>
      <c r="B8" t="s">
        <v>7</v>
      </c>
      <c r="C8" t="n">
        <v>-5</v>
      </c>
      <c r="D8" t="n">
        <v>2</v>
      </c>
      <c r="F8" t="s">
        <v>19</v>
      </c>
      <c r="G8">
        <f>SUMIFS(C2:C9,A2:A9,"E*",B2:B9,"Open")</f>
      </c>
    </row>
    <row r="9">
      <c r="A9" t="s">
        <v>9</v>
      </c>
      <c r="B9" t="s">
        <v>8</v>
      </c>
      <c r="C9" t="n">
        <v>0</v>
      </c>
      <c r="D9" t="n">
        <v>1</v>
      </c>
      <c r="F9" t="s">
        <v>20</v>
      </c>
      <c r="G9">
        <f>SUMIFS(C2:C9,A2:A9,"E~*")</f>
      </c>
    </row>
    <row r="10">
      <c r="F10" t="s">
        <v>21</v>
      </c>
      <c r="G10">
        <f>COUNTIFS(A2:A9,"&lt;&gt;US",B2:B9,"Open")</f>
      </c>
    </row>
    <row r="11">
      <c r="D11" t="s">
        <v>6</v>
      </c>
      <c r="F11" t="s">
        <v>22</v>
      </c>
      <c r="G11">
        <f>IFERROR(AVERAGEIFS(C2:C9,A2:A9,"None"),999)</f>
      </c>
    </row>
    <row r="12">
      <c r="D12" t="s">
        <v>12</v>
      </c>
      <c r="F12" t="s">
        <v>23</v>
      </c>
      <c r="G12">
        <f>AVERAGEIF(C2:C9,"&gt;=0")</f>
      </c>
    </row>
    <row r="13">
      <c r="F13" t="s">
        <v>24</v>
      </c>
      <c r="G13">
        <f>AVERAGEIF(B2:B9,"Closed",C2:C9)</f>
      </c>
    </row>
    <row r="14">
      <c r="F14" t="s">
        <v>25</v>
      </c>
      <c r="G14">
        <f>SUMIFS(C2:C9,A2:A9,"None")</f>
      </c>
    </row>
    <row r="15">
      <c r="F15" t="s">
        <v>26</v>
      </c>
      <c r="G15">
        <f>COUNTIFS(A2:A9,"None")</f>
      </c>
    </row>
    <row r="16">
      <c r="F16" t="s">
        <v>27</v>
      </c>
      <c r="G16">
        <f>COUNTIFS(A2,"EU")</f>
      </c>
    </row>
    <row r="17">
      <c r="F17" t="s">
        <v>28</v>
      </c>
      <c r="G17">
        <f>SUMIFS(C2,A2,"EU")</f>
      </c>
    </row>
    <row r="18">
      <c r="F18" t="s">
        <v>29</v>
      </c>
      <c r="G18">
        <f>AVERAGEIFS(C2,A2,"EU")</f>
      </c>
    </row>
    <row r="19">
      <c r="F19" t="s">
        <v>30</v>
      </c>
      <c r="G19">
        <f>AVERAGEIF(A2,"EU",C2)</f>
      </c>
    </row>
    <row r="20">
      <c r="F20" t="s">
        <v>31</v>
      </c>
      <c r="G20">
        <f>SUMIFS(C2:C9,A2:A9,$D$11,C2:C9,$D$12)</f>
      </c>
    </row>
    <row r="21">
      <c r="F21" t="s">
        <v>32</v>
      </c>
      <c r="G21">
        <f>COUNTIFS(C2:C9,0)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