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riteri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<sst xmlns="http://schemas.openxmlformats.org/spreadsheetml/2006/main" uniqueCount="33">
  <si>
    <t>Region</t>
  </si>
  <si>
    <t>Status</t>
  </si>
  <si>
    <t>Value</t>
  </si>
  <si>
    <t>Units</t>
  </si>
  <si>
    <t>Case</t>
  </si>
  <si>
    <t>Result</t>
  </si>
  <si>
    <t>EU</t>
  </si>
  <si>
    <t>Open</t>
  </si>
  <si>
    <t>Sum two criteria</t>
  </si>
  <si>
    <t>Closed</t>
  </si>
  <si>
    <t>Count two criteria</t>
  </si>
  <si>
    <t>US</t>
  </si>
  <si>
    <t>Average named region</t>
  </si>
  <si>
    <t>eu</t>
  </si>
  <si>
    <t>Average two criteria</t>
  </si>
  <si>
    <t>E*</t>
  </si>
  <si>
    <t>Sum numeric criterion</t>
  </si>
  <si>
    <t>Count numeric criteria</t>
  </si>
  <si>
    <t>Sum wildcard</t>
  </si>
  <si>
    <t>Sum literal wildcard</t>
  </si>
  <si>
    <t>Count not equal</t>
  </si>
  <si>
    <t>Average missing guard</t>
  </si>
  <si>
    <t>&gt;=20</t>
  </si>
  <si>
    <t>Average numeric range</t>
  </si>
  <si>
    <t>Average closed</t>
  </si>
  <si>
    <t>Sum no matches</t>
  </si>
  <si>
    <t>Count no matches</t>
  </si>
  <si>
    <t>Count single cell</t>
  </si>
  <si>
    <t>Sum single cell</t>
  </si>
  <si>
    <t>Average single cell</t>
  </si>
  <si>
    <t>Average if single cell</t>
  </si>
  <si>
    <t>Sum criterion cells</t>
  </si>
  <si>
    <t>Count zero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</si>
</sst>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8" defaultRowHeight="12.75" customHeight="1" outlineLevelRow="0" outlineLevelCol="0"/>
  <cols>
    <col min="1" max="2" width="12" style="1" customWidth="1"/>
    <col min="3" max="4" width="10" style="1" customWidth="1"/>
    <col min="5" max="5" width="3" style="1" customWidth="1"/>
    <col min="6" max="6" width="36" style="1" customWidth="1"/>
    <col min="7" max="7" width="12" style="1" customWidth="1"/>
    <col min="8" max="16384" width="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</row>
    <row r="2" ht="13.55" customHeight="1">
      <c r="A2" t="s" s="2">
        <v>6</v>
      </c>
      <c r="B2" t="s" s="2">
        <v>7</v>
      </c>
      <c r="C2" s="4">
        <v>10</v>
      </c>
      <c r="D2" s="4">
        <v>1</v>
      </c>
      <c r="E2" s="3"/>
      <c r="F2" t="s" s="2">
        <v>8</v>
      </c>
      <c r="G2" s="4" cm="1">
        <f t="array" ref="G2">_xlfn.SUMIFS(C2:C9,A2:A9,"EU",C2:C9,"&gt;=0")</f>
        <v>70</v>
      </c>
    </row>
    <row r="3" ht="13.55" customHeight="1">
      <c r="A3" t="s" s="2">
        <v>6</v>
      </c>
      <c r="B3" t="s" s="2">
        <v>9</v>
      </c>
      <c r="C3" s="4">
        <v>20</v>
      </c>
      <c r="D3" s="4">
        <v>2</v>
      </c>
      <c r="E3" s="3"/>
      <c r="F3" t="s" s="2">
        <v>10</v>
      </c>
      <c r="G3" s="4" cm="1">
        <f t="array" ref="G3">_xlfn.COUNTIFS(A2:A9,"EU",B2:B9,"Open")</f>
        <v>3</v>
      </c>
    </row>
    <row r="4" ht="13.55" customHeight="1">
      <c r="A4" t="s" s="2">
        <v>11</v>
      </c>
      <c r="B4" t="s" s="2">
        <v>7</v>
      </c>
      <c r="C4" s="4">
        <v>30</v>
      </c>
      <c r="D4" s="4">
        <v>3</v>
      </c>
      <c r="E4" s="3"/>
      <c r="F4" t="s" s="2">
        <v>12</v>
      </c>
      <c r="G4" s="4" cm="1">
        <f t="array" ref="G4">_xlfn.AVERAGEIF(A2:A9,"EU",C2:C9)</f>
        <v>16.25</v>
      </c>
    </row>
    <row r="5" ht="13.55" customHeight="1">
      <c r="A5" t="s" s="2">
        <v>13</v>
      </c>
      <c r="B5" t="s" s="2">
        <v>7</v>
      </c>
      <c r="C5" s="4">
        <v>40</v>
      </c>
      <c r="D5" s="4">
        <v>4</v>
      </c>
      <c r="E5" s="3"/>
      <c r="F5" t="s" s="2">
        <v>14</v>
      </c>
      <c r="G5" s="4" cm="1">
        <f t="array" ref="G5">_xlfn.AVERAGEIFS(C2:C9,A2:A9,"EU",B2:B9,"Open")</f>
        <v>15</v>
      </c>
    </row>
    <row r="6" ht="13.55" customHeight="1">
      <c r="A6" t="s" s="2">
        <v>15</v>
      </c>
      <c r="B6" t="s" s="2">
        <v>7</v>
      </c>
      <c r="C6" s="4">
        <v>50</v>
      </c>
      <c r="D6" s="4">
        <v>5</v>
      </c>
      <c r="E6" s="3"/>
      <c r="F6" t="s" s="2">
        <v>16</v>
      </c>
      <c r="G6" s="4" cm="1">
        <f t="array" ref="G6">_xlfn.SUMIFS(C2:C9,D2:D9,"&gt;=2")</f>
        <v>135</v>
      </c>
    </row>
    <row r="7" ht="13.55" customHeight="1">
      <c r="A7" s="3"/>
      <c r="B7" t="s" s="2">
        <v>7</v>
      </c>
      <c r="C7" s="4">
        <v>60</v>
      </c>
      <c r="D7" s="4">
        <v>0</v>
      </c>
      <c r="E7" s="3"/>
      <c r="F7" t="s" s="2">
        <v>17</v>
      </c>
      <c r="G7" s="4" cm="1">
        <f t="array" ref="G7">_xlfn.COUNTIFS(C2:C9,"&gt;=20",D2:D9,"&gt;=2")</f>
        <v>4</v>
      </c>
    </row>
    <row r="8" ht="13.55" customHeight="1">
      <c r="A8" t="s" s="2">
        <v>6</v>
      </c>
      <c r="B8" t="s" s="2">
        <v>7</v>
      </c>
      <c r="C8" s="4">
        <v>-5</v>
      </c>
      <c r="D8" s="4">
        <v>2</v>
      </c>
      <c r="E8" s="3"/>
      <c r="F8" t="s" s="2">
        <v>18</v>
      </c>
      <c r="G8" s="4" cm="1">
        <f t="array" ref="G8">_xlfn.SUMIFS(C2:C9,A2:A9,"E*",B2:B9,"Open")</f>
        <v>95</v>
      </c>
    </row>
    <row r="9" ht="13.55" customHeight="1">
      <c r="A9" t="s" s="2">
        <v>11</v>
      </c>
      <c r="B9" t="s" s="2">
        <v>9</v>
      </c>
      <c r="C9" s="4">
        <v>0</v>
      </c>
      <c r="D9" s="4">
        <v>1</v>
      </c>
      <c r="E9" s="3"/>
      <c r="F9" t="s" s="2">
        <v>19</v>
      </c>
      <c r="G9" s="4" cm="1">
        <f t="array" ref="G9">_xlfn.SUMIFS(C2:C9,A2:A9,"E~*")</f>
        <v>50</v>
      </c>
    </row>
    <row r="10" ht="13.55" customHeight="1">
      <c r="A10" s="3"/>
      <c r="B10" s="3"/>
      <c r="C10" s="3"/>
      <c r="D10" s="3"/>
      <c r="E10" s="3"/>
      <c r="F10" t="s" s="2">
        <v>20</v>
      </c>
      <c r="G10" s="4" cm="1">
        <f t="array" ref="G10">_xlfn.COUNTIFS(A2:A9,"&lt;&gt;US",B2:B9,"Open")</f>
        <v>5</v>
      </c>
    </row>
    <row r="11" ht="13.55" customHeight="1">
      <c r="A11" s="3"/>
      <c r="B11" s="3"/>
      <c r="C11" s="3"/>
      <c r="D11" t="s" s="2">
        <v>6</v>
      </c>
      <c r="E11" s="3"/>
      <c r="F11" t="s" s="2">
        <v>21</v>
      </c>
      <c r="G11" s="4" cm="1">
        <f t="array" ref="G11">_xlfn.IFERROR(_xlfn.AVERAGEIFS(C2:C9,A2:A9,"None"),999)</f>
        <v>999</v>
      </c>
    </row>
    <row r="12" ht="13.55" customHeight="1">
      <c r="A12" s="3"/>
      <c r="B12" s="3"/>
      <c r="C12" s="3"/>
      <c r="D12" t="s" s="2">
        <v>22</v>
      </c>
      <c r="E12" s="3"/>
      <c r="F12" t="s" s="2">
        <v>23</v>
      </c>
      <c r="G12" s="4" cm="1">
        <f t="array" ref="G12">_xlfn.AVERAGEIF(C2:C9,"&gt;=0")</f>
        <v>30</v>
      </c>
    </row>
    <row r="13" ht="13.55" customHeight="1">
      <c r="A13" s="3"/>
      <c r="B13" s="3"/>
      <c r="C13" s="3"/>
      <c r="D13" s="3"/>
      <c r="E13" s="3"/>
      <c r="F13" t="s" s="2">
        <v>24</v>
      </c>
      <c r="G13" s="4" cm="1">
        <f t="array" ref="G13">_xlfn.AVERAGEIF(B2:B9,"Closed",C2:C9)</f>
        <v>10</v>
      </c>
    </row>
    <row r="14" ht="13.55" customHeight="1">
      <c r="A14" s="3"/>
      <c r="B14" s="3"/>
      <c r="C14" s="3"/>
      <c r="D14" s="3"/>
      <c r="E14" s="3"/>
      <c r="F14" t="s" s="2">
        <v>25</v>
      </c>
      <c r="G14" s="4" cm="1">
        <f t="array" ref="G14">_xlfn.SUMIFS(C2:C9,A2:A9,"None")</f>
        <v>0</v>
      </c>
    </row>
    <row r="15" ht="13.55" customHeight="1">
      <c r="A15" s="3"/>
      <c r="B15" s="3"/>
      <c r="C15" s="3"/>
      <c r="D15" s="3"/>
      <c r="E15" s="3"/>
      <c r="F15" t="s" s="2">
        <v>26</v>
      </c>
      <c r="G15" s="4" cm="1">
        <f t="array" ref="G15">_xlfn.COUNTIFS(A2:A9,"None")</f>
        <v>0</v>
      </c>
    </row>
    <row r="16" ht="13.55" customHeight="1">
      <c r="A16" s="3"/>
      <c r="B16" s="3"/>
      <c r="C16" s="3"/>
      <c r="D16" s="3"/>
      <c r="E16" s="3"/>
      <c r="F16" t="s" s="2">
        <v>27</v>
      </c>
      <c r="G16" s="4" cm="1">
        <f t="array" ref="G16">_xlfn.COUNTIFS(A2,"EU")</f>
        <v>1</v>
      </c>
    </row>
    <row r="17" ht="13.55" customHeight="1">
      <c r="A17" s="3"/>
      <c r="B17" s="3"/>
      <c r="C17" s="3"/>
      <c r="D17" s="3"/>
      <c r="E17" s="3"/>
      <c r="F17" t="s" s="2">
        <v>28</v>
      </c>
      <c r="G17" s="4" cm="1">
        <f t="array" ref="G17">_xlfn.SUMIFS(C2,A2,"EU")</f>
        <v>10</v>
      </c>
    </row>
    <row r="18" ht="13.55" customHeight="1">
      <c r="A18" s="3"/>
      <c r="B18" s="3"/>
      <c r="C18" s="3"/>
      <c r="D18" s="3"/>
      <c r="E18" s="3"/>
      <c r="F18" t="s" s="2">
        <v>29</v>
      </c>
      <c r="G18" s="4" cm="1">
        <f t="array" ref="G18">_xlfn.AVERAGEIFS(C2,A2,"EU")</f>
        <v>10</v>
      </c>
    </row>
    <row r="19" ht="13.55" customHeight="1">
      <c r="A19" s="3"/>
      <c r="B19" s="3"/>
      <c r="C19" s="3"/>
      <c r="D19" s="3"/>
      <c r="E19" s="3"/>
      <c r="F19" t="s" s="2">
        <v>30</v>
      </c>
      <c r="G19" s="4" cm="1">
        <f t="array" ref="G19">_xlfn.AVERAGEIF(A2,"EU",C2)</f>
        <v>10</v>
      </c>
    </row>
    <row r="20" ht="13.55" customHeight="1">
      <c r="A20" s="3"/>
      <c r="B20" s="3"/>
      <c r="C20" s="3"/>
      <c r="D20" s="3"/>
      <c r="E20" s="3"/>
      <c r="F20" t="s" s="2">
        <v>31</v>
      </c>
      <c r="G20" s="4" cm="1">
        <f t="array" ref="G20">_xlfn.SUMIFS(C2:C9,A2:A9,$D$11,C2:C9,$D$12)</f>
        <v>60</v>
      </c>
    </row>
    <row r="21" ht="13.55" customHeight="1">
      <c r="A21" s="3"/>
      <c r="B21" s="3"/>
      <c r="C21" s="3"/>
      <c r="D21" s="3"/>
      <c r="E21" s="3"/>
      <c r="F21" t="s" s="2">
        <v>32</v>
      </c>
      <c r="G21" s="4" cm="1">
        <f t="array" ref="G21">_xlfn.COUNTIFS(C2:C9,0)</f>
        <v>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