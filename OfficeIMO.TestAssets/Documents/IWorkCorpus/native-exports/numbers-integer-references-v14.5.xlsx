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teger functions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<sst xmlns="http://schemas.openxmlformats.org/spreadsheetml/2006/main" uniqueCount="27">
  <si>
    <t>Case</t>
  </si>
  <si>
    <t>First</t>
  </si>
  <si>
    <t>Second</t>
  </si>
  <si>
    <t>Third</t>
  </si>
  <si>
    <t>Range GCD</t>
  </si>
  <si>
    <t>Range LCM</t>
  </si>
  <si>
    <t>Direct GCD</t>
  </si>
  <si>
    <t>Direct LCM</t>
  </si>
  <si>
    <t>Positive</t>
  </si>
  <si>
    <t>Single</t>
  </si>
  <si>
    <t>All zero</t>
  </si>
  <si>
    <t>Contains zero</t>
  </si>
  <si>
    <t>Fractions</t>
  </si>
  <si>
    <t>Negative</t>
  </si>
  <si>
    <t>Small negative</t>
  </si>
  <si>
    <t>Text</t>
  </si>
  <si>
    <t>text</t>
  </si>
  <si>
    <t>Numeric text</t>
  </si>
  <si>
    <t>24</t>
  </si>
  <si>
    <t>Boolean</t>
  </si>
  <si>
    <t>Blank</t>
  </si>
  <si>
    <t>Exact maximum</t>
  </si>
  <si>
    <t>Operand boundary</t>
  </si>
  <si>
    <t>LCM overflow</t>
  </si>
  <si>
    <t>Below one</t>
  </si>
  <si>
    <t>Zero before large</t>
  </si>
  <si>
    <t>Zero after large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</si>
</sst>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0" fontId="0" borderId="5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6eef7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8"/>
  <sheetViews>
    <sheetView workbookViewId="0" showGridLines="0" defaultGridColor="1"/>
  </sheetViews>
  <sheetFormatPr defaultColWidth="8.83333" defaultRowHeight="15" customHeight="1" outlineLevelRow="0" outlineLevelCol="0"/>
  <cols>
    <col min="1" max="1" width="23" style="1" customWidth="1"/>
    <col min="2" max="8" width="24" style="1" customWidth="1"/>
    <col min="9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4">
        <v>7</v>
      </c>
    </row>
    <row r="2" ht="13.55" customHeight="1">
      <c r="A2" t="s" s="5">
        <v>8</v>
      </c>
      <c r="B2" s="6">
        <v>30</v>
      </c>
      <c r="C2" s="6">
        <v>36</v>
      </c>
      <c r="D2" s="6">
        <v>60</v>
      </c>
      <c r="E2" s="6" cm="1">
        <f t="array" ref="E2">GCD(B2:D2)</f>
        <v>6</v>
      </c>
      <c r="F2" s="6" cm="1">
        <f t="array" ref="F2">LCM(B2:D2)</f>
        <v>180</v>
      </c>
      <c r="G2" s="6" cm="1">
        <f t="array" ref="G2">GCD(B2,C2,D2)</f>
        <v>6</v>
      </c>
      <c r="H2" s="6" cm="1">
        <f t="array" ref="H2">LCM($B$2,$C$2:$D$2,1)</f>
        <v>180</v>
      </c>
    </row>
    <row r="3" ht="13.55" customHeight="1">
      <c r="A3" t="s" s="7">
        <v>9</v>
      </c>
      <c r="B3" s="8">
        <v>13</v>
      </c>
      <c r="C3" s="9"/>
      <c r="D3" s="9"/>
      <c r="E3" s="8" cm="1">
        <f t="array" ref="E3">GCD(B3:D3)</f>
        <v>13</v>
      </c>
      <c r="F3" s="8" cm="1">
        <f t="array" ref="F3">LCM(B3:D3)</f>
        <v>0</v>
      </c>
      <c r="G3" s="8" cm="1">
        <f t="array" ref="G3">GCD(13)</f>
        <v>13</v>
      </c>
      <c r="H3" s="8" cm="1">
        <f t="array" ref="H3">LCM(13)</f>
        <v>13</v>
      </c>
    </row>
    <row r="4" ht="13.55" customHeight="1">
      <c r="A4" t="s" s="7">
        <v>10</v>
      </c>
      <c r="B4" s="8">
        <v>0</v>
      </c>
      <c r="C4" s="8">
        <v>0</v>
      </c>
      <c r="D4" s="8">
        <v>0</v>
      </c>
      <c r="E4" s="8" cm="1">
        <f t="array" ref="E4">GCD(B4:D4)</f>
        <v>0</v>
      </c>
      <c r="F4" s="8" cm="1">
        <f t="array" ref="F4">LCM(B4:D4)</f>
        <v>0</v>
      </c>
      <c r="G4" s="8" cm="1">
        <f t="array" ref="G4">GCD(0,0,0)</f>
        <v>0</v>
      </c>
      <c r="H4" s="8" cm="1">
        <f t="array" ref="H4">LCM(0,0,0)</f>
        <v>0</v>
      </c>
    </row>
    <row r="5" ht="13.55" customHeight="1">
      <c r="A5" t="s" s="7">
        <v>11</v>
      </c>
      <c r="B5" s="8">
        <v>12</v>
      </c>
      <c r="C5" s="8">
        <v>0</v>
      </c>
      <c r="D5" s="8">
        <v>18</v>
      </c>
      <c r="E5" s="8" cm="1">
        <f t="array" ref="E5">GCD(B5:D5)</f>
        <v>6</v>
      </c>
      <c r="F5" s="8" cm="1">
        <f t="array" ref="F5">LCM(B5:D5)</f>
        <v>0</v>
      </c>
      <c r="G5" s="8" cm="1">
        <f t="array" ref="G5">GCD(12,0,18)</f>
        <v>6</v>
      </c>
      <c r="H5" s="8" cm="1">
        <f t="array" ref="H5">LCM(12,0,18)</f>
        <v>0</v>
      </c>
    </row>
    <row r="6" ht="13.55" customHeight="1">
      <c r="A6" t="s" s="7">
        <v>12</v>
      </c>
      <c r="B6" s="8">
        <v>24.9</v>
      </c>
      <c r="C6" s="8">
        <v>36.2</v>
      </c>
      <c r="D6" s="8">
        <v>60.8</v>
      </c>
      <c r="E6" s="8" cm="1">
        <f t="array" ref="E6">GCD(B6:D6)</f>
        <v>12</v>
      </c>
      <c r="F6" s="8" cm="1">
        <f t="array" ref="F6">LCM(B6:D6)</f>
        <v>360</v>
      </c>
      <c r="G6" s="8" cm="1">
        <f t="array" ref="G6">GCD(24.9,36.2,60.8)</f>
        <v>12</v>
      </c>
      <c r="H6" s="8" cm="1">
        <f t="array" ref="H6">LCM(24.9,36.2,60.8)</f>
        <v>360</v>
      </c>
    </row>
    <row r="7" ht="13.55" customHeight="1">
      <c r="A7" t="s" s="7">
        <v>13</v>
      </c>
      <c r="B7" s="8">
        <v>-24</v>
      </c>
      <c r="C7" s="8">
        <v>36</v>
      </c>
      <c r="D7" s="8">
        <v>60</v>
      </c>
      <c r="E7" s="9" cm="1">
        <f t="array" ref="E7">GCD(B7:D7)</f>
      </c>
      <c r="F7" s="9" cm="1">
        <f t="array" ref="F7">LCM(B7:D7)</f>
      </c>
      <c r="G7" s="9" cm="1">
        <f t="array" ref="G7">GCD(-24,36,60)</f>
      </c>
      <c r="H7" s="9" cm="1">
        <f t="array" ref="H7">LCM(-24,36,60)</f>
      </c>
    </row>
    <row r="8" ht="13.55" customHeight="1">
      <c r="A8" t="s" s="7">
        <v>14</v>
      </c>
      <c r="B8" s="8">
        <v>-0.2</v>
      </c>
      <c r="C8" s="8">
        <v>36</v>
      </c>
      <c r="D8" s="8">
        <v>60</v>
      </c>
      <c r="E8" s="9" cm="1">
        <f t="array" ref="E8">GCD(B8:D8)</f>
      </c>
      <c r="F8" s="9" cm="1">
        <f t="array" ref="F8">LCM(B8:D8)</f>
      </c>
      <c r="G8" s="9" cm="1">
        <f t="array" ref="G8">GCD(-0.2,36,60)</f>
      </c>
      <c r="H8" s="9" cm="1">
        <f t="array" ref="H8">LCM(-0.2,36,60)</f>
      </c>
    </row>
    <row r="9" ht="13.55" customHeight="1">
      <c r="A9" t="s" s="7">
        <v>15</v>
      </c>
      <c r="B9" t="s" s="7">
        <v>16</v>
      </c>
      <c r="C9" s="8">
        <v>12</v>
      </c>
      <c r="D9" s="8">
        <v>18</v>
      </c>
      <c r="E9" s="9" cm="1">
        <f t="array" ref="E9">GCD(B9:D9)</f>
      </c>
      <c r="F9" s="9" cm="1">
        <f t="array" ref="F9">LCM(B9:D9)</f>
      </c>
      <c r="G9" s="9" cm="1">
        <f t="array" ref="G9">GCD("text",12,18)</f>
      </c>
      <c r="H9" s="9" cm="1">
        <f t="array" ref="H9">LCM("text",12,18)</f>
      </c>
    </row>
    <row r="10" ht="13.55" customHeight="1">
      <c r="A10" t="s" s="7">
        <v>17</v>
      </c>
      <c r="B10" t="s" s="7">
        <v>18</v>
      </c>
      <c r="C10" s="8">
        <v>36</v>
      </c>
      <c r="D10" s="8">
        <v>60</v>
      </c>
      <c r="E10" s="8" cm="1">
        <f t="array" ref="E10">GCD(B10:D10)</f>
        <v>12</v>
      </c>
      <c r="F10" s="8" cm="1">
        <f t="array" ref="F10">LCM(B10:D10)</f>
        <v>0</v>
      </c>
      <c r="G10" s="8" cm="1">
        <f t="array" ref="G10">GCD("24",36,60)</f>
        <v>12</v>
      </c>
      <c r="H10" s="8" cm="1">
        <f t="array" ref="H10">LCM("24",36,60)</f>
        <v>360</v>
      </c>
    </row>
    <row r="11" ht="13.55" customHeight="1">
      <c r="A11" t="s" s="7">
        <v>19</v>
      </c>
      <c r="B11" t="b" s="8">
        <v>1</v>
      </c>
      <c r="C11" s="8">
        <v>12</v>
      </c>
      <c r="D11" s="8">
        <v>18</v>
      </c>
      <c r="E11" s="9" cm="1">
        <f t="array" ref="E11">GCD(B11:D11)</f>
      </c>
      <c r="F11" s="9" cm="1">
        <f t="array" ref="F11">LCM(B11:D11)</f>
      </c>
      <c r="G11" s="9" cm="1">
        <f t="array" ref="G11">GCD(TRUE,12,18)</f>
      </c>
      <c r="H11" s="9" cm="1">
        <f t="array" ref="H11">LCM(TRUE,12,18)</f>
      </c>
    </row>
    <row r="12" ht="13.55" customHeight="1">
      <c r="A12" t="s" s="7">
        <v>20</v>
      </c>
      <c r="B12" s="9"/>
      <c r="C12" s="9"/>
      <c r="D12" s="9"/>
      <c r="E12" s="8" cm="1">
        <f t="array" ref="E12">GCD(B12:D12)</f>
        <v>0</v>
      </c>
      <c r="F12" s="8" cm="1">
        <f t="array" ref="F12">LCM(B12:D12)</f>
        <v>0</v>
      </c>
      <c r="G12" s="8" cm="1">
        <f t="array" ref="G12">GCD(0)</f>
        <v>0</v>
      </c>
      <c r="H12" s="8" cm="1">
        <f t="array" ref="H12">LCM(0)</f>
        <v>0</v>
      </c>
    </row>
    <row r="13" ht="13.55" customHeight="1">
      <c r="A13" t="s" s="7">
        <v>21</v>
      </c>
      <c r="B13" s="8" cm="1">
        <f t="array" ref="B13">2^53-1</f>
        <v>9007199254740990</v>
      </c>
      <c r="C13" s="8">
        <v>1</v>
      </c>
      <c r="D13" s="8">
        <v>1</v>
      </c>
      <c r="E13" s="8" cm="1">
        <f t="array" ref="E13">GCD(B13:D13)</f>
        <v>1</v>
      </c>
      <c r="F13" s="8" cm="1">
        <f t="array" ref="F13">LCM(B13:D13)</f>
        <v>9007199254740990</v>
      </c>
      <c r="G13" s="8" cm="1">
        <f t="array" ref="G13">GCD(9007199254740990,1,1)</f>
        <v>1</v>
      </c>
      <c r="H13" s="8" cm="1">
        <f t="array" ref="H13">LCM(9007199254740990,1,1)</f>
        <v>9007199254740990</v>
      </c>
    </row>
    <row r="14" ht="13.55" customHeight="1">
      <c r="A14" t="s" s="7">
        <v>22</v>
      </c>
      <c r="B14" s="8" cm="1">
        <f t="array" ref="B14">2^53</f>
        <v>9007199254740990</v>
      </c>
      <c r="C14" s="8">
        <v>4</v>
      </c>
      <c r="D14" s="8">
        <v>8</v>
      </c>
      <c r="E14" s="8" cm="1">
        <f t="array" ref="E14">GCD(B14:D14)</f>
        <v>2</v>
      </c>
      <c r="F14" s="8" cm="1">
        <f t="array" ref="F14">LCM(B14:D14)</f>
        <v>3.6028797018964e+16</v>
      </c>
      <c r="G14" s="8" cm="1">
        <f t="array" ref="G14">GCD(9007199254740990,4,8)</f>
        <v>2</v>
      </c>
      <c r="H14" s="8" cm="1">
        <f t="array" ref="H14">LCM(9007199254740990,4,8)</f>
        <v>3.6028797018964e+16</v>
      </c>
    </row>
    <row r="15" ht="13.55" customHeight="1">
      <c r="A15" t="s" s="7">
        <v>23</v>
      </c>
      <c r="B15" s="8">
        <v>134217728</v>
      </c>
      <c r="C15" s="8">
        <v>67108865</v>
      </c>
      <c r="D15" s="9"/>
      <c r="E15" s="8" cm="1">
        <f t="array" ref="E15">GCD(B15:D15)</f>
        <v>1</v>
      </c>
      <c r="F15" s="8" cm="1">
        <f t="array" ref="F15">LCM(B15:D15)</f>
        <v>0</v>
      </c>
      <c r="G15" s="8" cm="1">
        <f t="array" ref="G15">GCD(134217728,67108865)</f>
        <v>1</v>
      </c>
      <c r="H15" s="8" cm="1">
        <f t="array" ref="H15">LCM(134217728,67108865)</f>
        <v>9007199388958720</v>
      </c>
    </row>
    <row r="16" ht="13.55" customHeight="1">
      <c r="A16" t="s" s="7">
        <v>24</v>
      </c>
      <c r="B16" s="8">
        <v>0.25</v>
      </c>
      <c r="C16" s="8">
        <v>0.75</v>
      </c>
      <c r="D16" s="9"/>
      <c r="E16" s="8" cm="1">
        <f t="array" ref="E16">GCD(B16:D16)</f>
        <v>0</v>
      </c>
      <c r="F16" s="8" cm="1">
        <f t="array" ref="F16">LCM(B16:D16)</f>
        <v>0</v>
      </c>
      <c r="G16" s="8" cm="1">
        <f t="array" ref="G16">GCD(0.25,0.75)</f>
        <v>0</v>
      </c>
      <c r="H16" s="8" cm="1">
        <f t="array" ref="H16">LCM(0.25,0.75)</f>
        <v>0</v>
      </c>
    </row>
    <row r="17" ht="13.55" customHeight="1">
      <c r="A17" t="s" s="7">
        <v>25</v>
      </c>
      <c r="B17" s="8">
        <v>0</v>
      </c>
      <c r="C17" s="8">
        <v>134217728</v>
      </c>
      <c r="D17" s="8">
        <v>67108865</v>
      </c>
      <c r="E17" s="8" cm="1">
        <f t="array" ref="E17">GCD(B17:D17)</f>
        <v>1</v>
      </c>
      <c r="F17" s="8" cm="1">
        <f t="array" ref="F17">LCM(B17:D17)</f>
        <v>0</v>
      </c>
      <c r="G17" s="8" cm="1">
        <f t="array" ref="G17">GCD(0,134217728,67108865)</f>
        <v>1</v>
      </c>
      <c r="H17" s="8" cm="1">
        <f t="array" ref="H17">LCM(0,134217728,67108865)</f>
        <v>0</v>
      </c>
    </row>
    <row r="18" ht="13.55" customHeight="1">
      <c r="A18" t="s" s="7">
        <v>26</v>
      </c>
      <c r="B18" s="8">
        <v>134217728</v>
      </c>
      <c r="C18" s="8">
        <v>67108865</v>
      </c>
      <c r="D18" s="8">
        <v>0</v>
      </c>
      <c r="E18" s="8" cm="1">
        <f t="array" ref="E18">GCD(B18:D18)</f>
        <v>1</v>
      </c>
      <c r="F18" s="8" cm="1">
        <f t="array" ref="F18">LCM(B18:D18)</f>
        <v>0</v>
      </c>
      <c r="G18" s="8" cm="1">
        <f t="array" ref="G18">GCD(134217728,67108865,0)</f>
        <v>1</v>
      </c>
      <c r="H18" s="8" cm="1">
        <f t="array" ref="H18">LCM(134217728,67108865,0)</f>
        <v>0</v>
      </c>
    </row>
  </sheetData>
  <pageMargins left="0.75" right="0.75" top="1" bottom="1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