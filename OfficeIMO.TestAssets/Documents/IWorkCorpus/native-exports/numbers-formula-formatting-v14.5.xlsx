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Main Sheet - Formula Tests" sheetId="1" r:id="rId5"/>
    <sheet name="Main Sheet - Food Table" sheetId="2" r:id="rId6"/>
    <sheet name="Main Sheet - Food Table 2" sheetId="3" r:id="rId7"/>
    <sheet name="Main Sheet - Animal Table" sheetId="4" r:id="rId8"/>
    <sheet name="Main Sheet - Animal Table 2" sheetId="5" r:id="rId9"/>
    <sheet name="Main Sheet - Animal Table 3" sheetId="6" r:id="rId10"/>
    <sheet name="Main Sheet - Extra Headers" sheetId="7" r:id="rId11"/>
    <sheet name="Main Sheet - Extra Column" sheetId="8" r:id="rId12"/>
    <sheet name="Main Sheet - Reference Tests" sheetId="9" r:id="rId13"/>
    <sheet name="Powers Sheet - Powers of Two" sheetId="10" r:id="rId14"/>
    <sheet name="Powers Sheet - Food Table 4" sheetId="11" r:id="rId15"/>
    <sheet name="Powers Sheet - Food Table" sheetId="12" r:id="rId16"/>
    <sheet name="Powers Sheet - Extra Column" sheetId="13" r:id="rId17"/>
    <sheet name="Powers Sheet - Countries" sheetId="14" r:id="rId18"/>
  </sheets>
</workbook>
</file>

<file path=xl/metadata.xml><?xml version="1.0" encoding="utf-8"?>
<metadata xmlns:xda="http://schemas.microsoft.com/office/spreadsheetml/2017/dynamicarray"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<sst xmlns="http://schemas.openxmlformats.org/spreadsheetml/2006/main" uniqueCount="264">
  <si>
    <t>Formula Tests</t>
  </si>
  <si>
    <t>Formula</t>
  </si>
  <si>
    <t>Formula Text</t>
  </si>
  <si>
    <t>Test</t>
  </si>
  <si>
    <t>apple</t>
  </si>
  <si>
    <t>orange</t>
  </si>
  <si>
    <t>lemon</t>
  </si>
  <si>
    <t>lime</t>
  </si>
  <si>
    <t>A2</t>
  </si>
  <si>
    <t>SUM(A2:B2)</t>
  </si>
  <si>
    <t>AVERAGE(1.234,123.4,1234000)</t>
  </si>
  <si>
    <r>
      <rPr>
        <b val="1"/>
        <i val="1"/>
        <u val="single"/>
        <sz val="18"/>
        <color indexed="8"/>
        <rFont val="Helvetica Neue"/>
      </rPr>
      <t>"apple" "orange"</t>
    </r>
  </si>
  <si>
    <t>""""&amp;A4&amp;""" """&amp;B4&amp;""""</t>
  </si>
  <si>
    <r>
      <rPr>
        <strike val="1"/>
        <sz val="14"/>
        <color indexed="8"/>
        <rFont val="Helvetica Neue"/>
      </rPr>
      <t>lemon lime melon</t>
    </r>
  </si>
  <si>
    <t>A5&amp;" "&amp;B5&amp;" melon"</t>
  </si>
  <si>
    <t>A3×B3</t>
  </si>
  <si>
    <t>A2+B2-A3</t>
  </si>
  <si>
    <t>A2+SUM(A2:B2)-SUM(A14:B14)</t>
  </si>
  <si>
    <t>IF(B2&gt;0,COUNTA(A4:B5),COUNTA(A6:B6))</t>
  </si>
  <si>
    <t>MEDIAN(B14,C14,C15,Powers of Two::A1:C2,Powers of Two::A$3:$C4)</t>
  </si>
  <si>
    <t>cat,dog,hamster</t>
  </si>
  <si>
    <t>TEXTJOIN(",",FALSE,Animal Table::B1:D1)</t>
  </si>
  <si>
    <t>yay</t>
  </si>
  <si>
    <t>IF(OR(SUM(A14:B14)&gt;1,SUM(A2:B2)&gt;1),"yay","nay")</t>
  </si>
  <si>
    <t>IF(TRUE,1,0)</t>
  </si>
  <si>
    <t>IF(1≤2,TRUE,FALSE)</t>
  </si>
  <si>
    <t>IF(1≥2,TRUE,FALSE)</t>
  </si>
  <si>
    <t>IF(1≠2,TRUE,FALSE)</t>
  </si>
  <si>
    <t>10+10×20+20</t>
  </si>
  <si>
    <t>((10+10)÷(20+20))%</t>
  </si>
  <si>
    <t>SUM(#REF!)</t>
  </si>
  <si>
    <t>AVERAGE(A3,1.86)</t>
  </si>
  <si>
    <t>COUNTA(Food Table::A2:B4)</t>
  </si>
  <si>
    <t>COUNTA(Food Table::A2:$B4)</t>
  </si>
  <si>
    <t>COUNTA(Food Table::A2:B$4)</t>
  </si>
  <si>
    <t>COUNTA(Food Table::A2:$B$4)</t>
  </si>
  <si>
    <t>COUNTA(Food Table::A$2:B4)</t>
  </si>
  <si>
    <t>COUNTA(Food Table::A$2:B$4)</t>
  </si>
  <si>
    <t>COUNTA(Food Table::A$2:$B4)</t>
  </si>
  <si>
    <t>COUNTA(Food Table::A$2:$B$4)</t>
  </si>
  <si>
    <t>COUNTA(Food Table::$A2:B4)</t>
  </si>
  <si>
    <t>COUNTA(Food Table::$A2:$B4)</t>
  </si>
  <si>
    <t>COUNTA(Food Table::$A2:B$4)</t>
  </si>
  <si>
    <t>COUNTA(Food Table::$A2:$B$4)</t>
  </si>
  <si>
    <t>COUNTA(Food Table::$A$2:B4)</t>
  </si>
  <si>
    <t>COUNTA(Food Table::$A$2:$B4)</t>
  </si>
  <si>
    <t>COUNTA(Food Table::$A$2:B$4)</t>
  </si>
  <si>
    <t>COUNTA(Food Table::$A$2:$B$4)</t>
  </si>
  <si>
    <t>Food Table</t>
  </si>
  <si>
    <t>fruit</t>
  </si>
  <si>
    <t>vegetable</t>
  </si>
  <si>
    <t>meat</t>
  </si>
  <si>
    <t>banana</t>
  </si>
  <si>
    <t>carrot</t>
  </si>
  <si>
    <t>lamb</t>
  </si>
  <si>
    <t>grape</t>
  </si>
  <si>
    <t>cabbage</t>
  </si>
  <si>
    <t>chicken</t>
  </si>
  <si>
    <t>asparagus</t>
  </si>
  <si>
    <t>beef</t>
  </si>
  <si>
    <t>courgette</t>
  </si>
  <si>
    <t>duck</t>
  </si>
  <si>
    <t>Food Table 2</t>
  </si>
  <si>
    <t>game</t>
  </si>
  <si>
    <t>sauce</t>
  </si>
  <si>
    <t>pomegranate</t>
  </si>
  <si>
    <t>chard</t>
  </si>
  <si>
    <t>partridge</t>
  </si>
  <si>
    <t>salsa</t>
  </si>
  <si>
    <t>melon</t>
  </si>
  <si>
    <t>kale</t>
  </si>
  <si>
    <t>quail</t>
  </si>
  <si>
    <t>béchamel</t>
  </si>
  <si>
    <t>apricot</t>
  </si>
  <si>
    <t>celery</t>
  </si>
  <si>
    <t>rabbit</t>
  </si>
  <si>
    <t>roux</t>
  </si>
  <si>
    <t>parsnip</t>
  </si>
  <si>
    <t>buffalo</t>
  </si>
  <si>
    <t>jus</t>
  </si>
  <si>
    <t>Animal Table</t>
  </si>
  <si>
    <t>pet</t>
  </si>
  <si>
    <t>cat</t>
  </si>
  <si>
    <t>dog</t>
  </si>
  <si>
    <t>hamster</t>
  </si>
  <si>
    <t>safari</t>
  </si>
  <si>
    <t>lion</t>
  </si>
  <si>
    <t>giraffe</t>
  </si>
  <si>
    <t>antelope</t>
  </si>
  <si>
    <t>farm</t>
  </si>
  <si>
    <t>cow</t>
  </si>
  <si>
    <t>pig</t>
  </si>
  <si>
    <t>sheep</t>
  </si>
  <si>
    <t>insect</t>
  </si>
  <si>
    <t>ant</t>
  </si>
  <si>
    <t>beetle</t>
  </si>
  <si>
    <t>moth</t>
  </si>
  <si>
    <t>super hero</t>
  </si>
  <si>
    <t>howard the duck</t>
  </si>
  <si>
    <t>rocket racoon</t>
  </si>
  <si>
    <t>mighty mouse</t>
  </si>
  <si>
    <t>Animal Table 2</t>
  </si>
  <si>
    <t>horse</t>
  </si>
  <si>
    <t>snake</t>
  </si>
  <si>
    <t>spider</t>
  </si>
  <si>
    <t>hyena</t>
  </si>
  <si>
    <t>cheetah</t>
  </si>
  <si>
    <t>rhino</t>
  </si>
  <si>
    <t>goose</t>
  </si>
  <si>
    <t>flying insect</t>
  </si>
  <si>
    <t>bee</t>
  </si>
  <si>
    <t>fly</t>
  </si>
  <si>
    <t>ladybird</t>
  </si>
  <si>
    <t>batman</t>
  </si>
  <si>
    <t>wonder woman</t>
  </si>
  <si>
    <t>flash</t>
  </si>
  <si>
    <t>Animal Table 3</t>
  </si>
  <si>
    <t>furless</t>
  </si>
  <si>
    <t>gecko</t>
  </si>
  <si>
    <t>mantis</t>
  </si>
  <si>
    <t>ants</t>
  </si>
  <si>
    <t>bird</t>
  </si>
  <si>
    <t>vulture</t>
  </si>
  <si>
    <t>malibu stork</t>
  </si>
  <si>
    <t>ostrich</t>
  </si>
  <si>
    <t>dc</t>
  </si>
  <si>
    <t>justice league</t>
  </si>
  <si>
    <t>superman</t>
  </si>
  <si>
    <t>water</t>
  </si>
  <si>
    <t>salmon</t>
  </si>
  <si>
    <t>sea bass</t>
  </si>
  <si>
    <t>halibut</t>
  </si>
  <si>
    <t>flying</t>
  </si>
  <si>
    <t>hornet</t>
  </si>
  <si>
    <t>dragonfly</t>
  </si>
  <si>
    <t>mosquito</t>
  </si>
  <si>
    <t>marvel</t>
  </si>
  <si>
    <t>x men</t>
  </si>
  <si>
    <t>beast</t>
  </si>
  <si>
    <t>storm</t>
  </si>
  <si>
    <t>wolverine</t>
  </si>
  <si>
    <t>Extra Headers</t>
  </si>
  <si>
    <t>Data1</t>
  </si>
  <si>
    <t>Data2</t>
  </si>
  <si>
    <t>blaze</t>
  </si>
  <si>
    <t>brave</t>
  </si>
  <si>
    <t>cloud</t>
  </si>
  <si>
    <t>chair</t>
  </si>
  <si>
    <t>daisy</t>
  </si>
  <si>
    <t>dream</t>
  </si>
  <si>
    <t>earth</t>
  </si>
  <si>
    <t>Row</t>
  </si>
  <si>
    <t>inlet</t>
  </si>
  <si>
    <t>juice</t>
  </si>
  <si>
    <t>jelly</t>
  </si>
  <si>
    <t>koala</t>
  </si>
  <si>
    <t>kneel</t>
  </si>
  <si>
    <t>lunar</t>
  </si>
  <si>
    <t>music</t>
  </si>
  <si>
    <t>mango</t>
  </si>
  <si>
    <t>nerve</t>
  </si>
  <si>
    <t>night</t>
  </si>
  <si>
    <t>olive</t>
  </si>
  <si>
    <t>ocean</t>
  </si>
  <si>
    <t>proud</t>
  </si>
  <si>
    <t>party</t>
  </si>
  <si>
    <t>quiet</t>
  </si>
  <si>
    <t>queen</t>
  </si>
  <si>
    <t>raven</t>
  </si>
  <si>
    <t>rocky</t>
  </si>
  <si>
    <t>sugar</t>
  </si>
  <si>
    <t>sunny</t>
  </si>
  <si>
    <t>tiger</t>
  </si>
  <si>
    <t>tasty</t>
  </si>
  <si>
    <t>vivid</t>
  </si>
  <si>
    <t>Extra Column</t>
  </si>
  <si>
    <t>extra</t>
  </si>
  <si>
    <t>token</t>
  </si>
  <si>
    <t>coin</t>
  </si>
  <si>
    <t>gold</t>
  </si>
  <si>
    <t>Reference Tests</t>
  </si>
  <si>
    <t>SUM(Powers of Two::1:2)</t>
  </si>
  <si>
    <t>SUM(Powers of Two::$1:2)</t>
  </si>
  <si>
    <t>SUM(Powers of Two::1:$2)</t>
  </si>
  <si>
    <t>SUM(Powers of Two::$1:$2)</t>
  </si>
  <si>
    <t>SUM(Powers of Two::B:C)</t>
  </si>
  <si>
    <t>SUM(Powers of Two::$B:C)</t>
  </si>
  <si>
    <t>SUM(Powers of Two::B:$C)</t>
  </si>
  <si>
    <t>SUM(Powers of Two::$B:$C)</t>
  </si>
  <si>
    <t>COUNTA(Animal Table::pet)</t>
  </si>
  <si>
    <t>COUNTA(Animal Table::$pet)</t>
  </si>
  <si>
    <t>COUNTA(flying insect)</t>
  </si>
  <si>
    <t>COUNTA(Animal Table 2::$flying insect)</t>
  </si>
  <si>
    <t>COUNTA(Animal Table::safari:farm)</t>
  </si>
  <si>
    <t>COUNTA(Food Table::fruit)</t>
  </si>
  <si>
    <t>COUNTA(Food Table::$fruit)</t>
  </si>
  <si>
    <t>COUNTA(game)</t>
  </si>
  <si>
    <t>COUNTA(extra)</t>
  </si>
  <si>
    <t>COUNTA(Powers Sheet::Extra Column::extra)</t>
  </si>
  <si>
    <t>COUNTA(Food Table 2::$game)</t>
  </si>
  <si>
    <t>COUNTA(Animal Table::$super hero)</t>
  </si>
  <si>
    <t>COUNTA(farm:x men)</t>
  </si>
  <si>
    <t>COUNTA(justice league:farm)</t>
  </si>
  <si>
    <t>COUNTA($insect:x men)</t>
  </si>
  <si>
    <t>COUNTA(insect:$x men)</t>
  </si>
  <si>
    <t>COUNTA($insect:$x men)</t>
  </si>
  <si>
    <t>COUNTA(Food Table::2:2)</t>
  </si>
  <si>
    <t>COUNTA(Food Table::$2:$2)</t>
  </si>
  <si>
    <t>COUNTA(Food Table::vegetable)</t>
  </si>
  <si>
    <t>COUNTA(Food Table::fruit:vegetable)</t>
  </si>
  <si>
    <t>COUNTA(vegetable:meat)</t>
  </si>
  <si>
    <t>COUNTA($vegetable:meat)</t>
  </si>
  <si>
    <t>COUNTA(vegetable:$meat)</t>
  </si>
  <si>
    <t>COUNTA($vegetable:$meat)</t>
  </si>
  <si>
    <t>COUNTA(Animal Table 3::safari)</t>
  </si>
  <si>
    <t>COUNTA(flying insect:super hero)</t>
  </si>
  <si>
    <t>COUNTA($flying insect:super hero)</t>
  </si>
  <si>
    <t>COUNTA(flying insect:$super hero)</t>
  </si>
  <si>
    <t>COUNTA($flying insect:$super hero)</t>
  </si>
  <si>
    <t>COUNTA(Powers Sheet::Food Table::fruit:vegetable)</t>
  </si>
  <si>
    <t>COUNTA(Powers Sheet::Food Table::$fruit:vegetable)</t>
  </si>
  <si>
    <t>COUNTA(Powers Sheet::Food Table::fruit:$vegetable)</t>
  </si>
  <si>
    <t>COUNTA(Powers Sheet::Food Table::$fruit:$vegetable)</t>
  </si>
  <si>
    <t>COUNTA(Food Table 4::vegetable:game)</t>
  </si>
  <si>
    <t>COUNTA(Food Table 4::vegetable:$game)</t>
  </si>
  <si>
    <t>COUNTA(Food Table 4::$vegetable:game)</t>
  </si>
  <si>
    <t>COUNTA(Food Table 4::$vegetable:$game)</t>
  </si>
  <si>
    <t>COUNTA(sauce)</t>
  </si>
  <si>
    <t>COUNTA(usa)</t>
  </si>
  <si>
    <t>COUNTA(attraction)</t>
  </si>
  <si>
    <t>COUNTA(england:ireland)</t>
  </si>
  <si>
    <t>COUNTA(sport:city)</t>
  </si>
  <si>
    <t>COUNTA(1.0)</t>
  </si>
  <si>
    <t>COUNT(1.0:TRUE)</t>
  </si>
  <si>
    <t>COUNTA(Animal Table::C)</t>
  </si>
  <si>
    <t>COUNTA(Animal Table::$C)</t>
  </si>
  <si>
    <t>COUNTA(Extra Headers::6:7)</t>
  </si>
  <si>
    <t>COUNTA(Extra Headers::$6:$7)</t>
  </si>
  <si>
    <t>Powers of Two</t>
  </si>
  <si>
    <t>Food Table 4</t>
  </si>
  <si>
    <t>fish</t>
  </si>
  <si>
    <t>trout</t>
  </si>
  <si>
    <t>cod</t>
  </si>
  <si>
    <t>haddock</t>
  </si>
  <si>
    <t>extra2</t>
  </si>
  <si>
    <t>copper</t>
  </si>
  <si>
    <t>aluminium</t>
  </si>
  <si>
    <t>carbon</t>
  </si>
  <si>
    <t>Countries</t>
  </si>
  <si>
    <t>sport</t>
  </si>
  <si>
    <t>attraction</t>
  </si>
  <si>
    <t>city</t>
  </si>
  <si>
    <t>usa</t>
  </si>
  <si>
    <t>baseball</t>
  </si>
  <si>
    <t>disneyland</t>
  </si>
  <si>
    <t>washington</t>
  </si>
  <si>
    <t>england</t>
  </si>
  <si>
    <t>cricket</t>
  </si>
  <si>
    <t>stonehenge</t>
  </si>
  <si>
    <t>manchester</t>
  </si>
  <si>
    <t>ireland</t>
  </si>
  <si>
    <t>hurling</t>
  </si>
  <si>
    <t>moher</t>
  </si>
  <si>
    <t>cork</t>
  </si>
</sst>
</file>

<file path=xl/styles.xml><?xml version="1.0" encoding="utf-8"?>
<styleSheet xmlns="http://schemas.openxmlformats.org/spreadsheetml/2006/main">
  <numFmts count="2">
    <numFmt numFmtId="0" formatCode="General"/>
    <numFmt numFmtId="59" formatCode="0.0%"/>
  </numFmts>
  <fonts count="5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  <font>
      <b val="1"/>
      <i val="1"/>
      <u val="single"/>
      <sz val="18"/>
      <color indexed="8"/>
      <name val="Helvetica Neue"/>
    </font>
    <font>
      <strike val="1"/>
      <sz val="14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45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horizontal="left" vertical="top" wrapText="1"/>
    </xf>
    <xf numFmtId="49" fontId="2" fillId="2" borderId="1" applyNumberFormat="1" applyFont="1" applyFill="1" applyBorder="1" applyAlignment="1" applyProtection="0">
      <alignment vertical="top" wrapText="1"/>
    </xf>
    <xf numFmtId="0" fontId="0" borderId="2" applyNumberFormat="1" applyFont="1" applyFill="0" applyBorder="1" applyAlignment="1" applyProtection="0">
      <alignment horizontal="left" vertical="center" wrapText="1"/>
    </xf>
    <xf numFmtId="0" fontId="0" borderId="2" applyNumberFormat="1" applyFont="1" applyFill="0" applyBorder="1" applyAlignment="1" applyProtection="0">
      <alignment vertical="top" wrapText="1"/>
    </xf>
    <xf numFmtId="0" fontId="0" borderId="3" applyNumberFormat="1" applyFont="1" applyFill="0" applyBorder="1" applyAlignment="1" applyProtection="0">
      <alignment horizontal="left" vertical="center" wrapText="1"/>
    </xf>
    <xf numFmtId="0" fontId="0" borderId="3" applyNumberFormat="1" applyFont="1" applyFill="0" applyBorder="1" applyAlignment="1" applyProtection="0">
      <alignment vertical="top" wrapText="1"/>
    </xf>
    <xf numFmtId="49" fontId="0" borderId="3" applyNumberFormat="1" applyFont="1" applyFill="0" applyBorder="1" applyAlignment="1" applyProtection="0">
      <alignment horizontal="left" vertical="center" wrapText="1"/>
    </xf>
    <xf numFmtId="49" fontId="0" borderId="3" applyNumberFormat="1" applyFont="1" applyFill="0" applyBorder="1" applyAlignment="1" applyProtection="0">
      <alignment vertical="top" wrapText="1"/>
    </xf>
    <xf numFmtId="0" fontId="3" borderId="3" applyNumberFormat="0" applyFont="1" applyFill="0" applyBorder="1" applyAlignment="1" applyProtection="0">
      <alignment horizontal="right" vertical="center" wrapText="1"/>
    </xf>
    <xf numFmtId="0" fontId="4" borderId="3" applyNumberFormat="0" applyFont="1" applyFill="0" applyBorder="1" applyAlignment="1" applyProtection="0">
      <alignment horizontal="center" vertical="center" wrapText="1"/>
    </xf>
    <xf numFmtId="0" fontId="0" borderId="3" applyNumberFormat="0" applyFont="1" applyFill="0" applyBorder="1" applyAlignment="1" applyProtection="0">
      <alignment horizontal="left" vertical="center" wrapText="1"/>
    </xf>
    <xf numFmtId="59" fontId="0" borderId="3" applyNumberFormat="1" applyFont="1" applyFill="0" applyBorder="1" applyAlignment="1" applyProtection="0">
      <alignment horizontal="left" vertical="center" wrapText="1"/>
    </xf>
    <xf numFmtId="0" fontId="0" applyNumberFormat="1" applyFont="1" applyFill="0" applyBorder="0" applyAlignment="1" applyProtection="0">
      <alignment vertical="top" wrapText="1"/>
    </xf>
    <xf numFmtId="49" fontId="0" borderId="2" applyNumberFormat="1" applyFont="1" applyFill="0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2" fillId="3" borderId="4" applyNumberFormat="1" applyFont="1" applyFill="1" applyBorder="1" applyAlignment="1" applyProtection="0">
      <alignment vertical="top" wrapText="1"/>
    </xf>
    <xf numFmtId="49" fontId="0" borderId="5" applyNumberFormat="1" applyFont="1" applyFill="0" applyBorder="1" applyAlignment="1" applyProtection="0">
      <alignment vertical="top" wrapText="1"/>
    </xf>
    <xf numFmtId="0" fontId="0" borderId="3" applyNumberFormat="0" applyFont="1" applyFill="0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2" fillId="3" borderId="3" applyNumberFormat="1" applyFont="1" applyFill="1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2" fillId="2" borderId="1" applyNumberFormat="0" applyFont="1" applyFill="1" applyBorder="1" applyAlignment="1" applyProtection="0">
      <alignment horizontal="left" vertical="top" wrapText="1"/>
    </xf>
    <xf numFmtId="0" fontId="2" fillId="3" borderId="6" applyNumberFormat="1" applyFont="1" applyFill="1" applyBorder="1" applyAlignment="1" applyProtection="0">
      <alignment horizontal="left" vertical="top" wrapText="1"/>
    </xf>
    <xf numFmtId="49" fontId="0" borderId="7" applyNumberFormat="1" applyFont="1" applyFill="0" applyBorder="1" applyAlignment="1" applyProtection="0">
      <alignment vertical="top" wrapText="1"/>
    </xf>
    <xf numFmtId="0" fontId="2" fillId="3" borderId="4" applyNumberFormat="1" applyFont="1" applyFill="1" applyBorder="1" applyAlignment="1" applyProtection="0">
      <alignment horizontal="left" vertical="top" wrapText="1"/>
    </xf>
    <xf numFmtId="49" fontId="2" fillId="3" borderId="4" applyNumberFormat="1" applyFont="1" applyFill="1" applyBorder="1" applyAlignment="1" applyProtection="0">
      <alignment horizontal="left" vertical="top" wrapText="1"/>
    </xf>
    <xf numFmtId="0" fontId="2" fillId="3" borderId="4" applyNumberFormat="0" applyFont="1" applyFill="1" applyBorder="1" applyAlignment="1" applyProtection="0">
      <alignment horizontal="left"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borderId="2" applyNumberFormat="1" applyFont="1" applyFill="0" applyBorder="1" applyAlignment="1" applyProtection="0">
      <alignment horizontal="left" vertical="top" wrapText="1"/>
    </xf>
    <xf numFmtId="49" fontId="0" borderId="2" applyNumberFormat="1" applyFont="1" applyFill="0" applyBorder="1" applyAlignment="1" applyProtection="0">
      <alignment horizontal="left" vertical="top" wrapText="1"/>
    </xf>
    <xf numFmtId="0" fontId="0" borderId="3" applyNumberFormat="1" applyFont="1" applyFill="0" applyBorder="1" applyAlignment="1" applyProtection="0">
      <alignment horizontal="left" vertical="top" wrapText="1"/>
    </xf>
    <xf numFmtId="49" fontId="0" borderId="3" applyNumberFormat="1" applyFont="1" applyFill="0" applyBorder="1" applyAlignment="1" applyProtection="0">
      <alignment horizontal="left"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2" fillId="2" borderId="1" applyNumberFormat="0" applyFont="1" applyFill="1" applyBorder="1" applyAlignment="1" applyProtection="0">
      <alignment vertical="top" wrapText="1"/>
    </xf>
    <xf numFmtId="49" fontId="2" fillId="3" borderId="6" applyNumberFormat="1" applyFont="1" applyFill="1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heetMetadata" Target="metadata.xml"/><Relationship Id="rId3" Type="http://schemas.openxmlformats.org/officeDocument/2006/relationships/styles" Target="styles.xml"/><Relationship Id="rId4" Type="http://schemas.openxmlformats.org/officeDocument/2006/relationships/theme" Target="theme/theme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9" Type="http://schemas.openxmlformats.org/officeDocument/2006/relationships/worksheet" Target="worksheets/sheet5.xml"/><Relationship Id="rId10" Type="http://schemas.openxmlformats.org/officeDocument/2006/relationships/worksheet" Target="worksheets/sheet6.xml"/><Relationship Id="rId11" Type="http://schemas.openxmlformats.org/officeDocument/2006/relationships/worksheet" Target="worksheets/sheet7.xml"/><Relationship Id="rId12" Type="http://schemas.openxmlformats.org/officeDocument/2006/relationships/worksheet" Target="worksheets/sheet8.xml"/><Relationship Id="rId13" Type="http://schemas.openxmlformats.org/officeDocument/2006/relationships/worksheet" Target="worksheets/sheet9.xml"/><Relationship Id="rId14" Type="http://schemas.openxmlformats.org/officeDocument/2006/relationships/worksheet" Target="worksheets/sheet10.xml"/><Relationship Id="rId15" Type="http://schemas.openxmlformats.org/officeDocument/2006/relationships/worksheet" Target="worksheets/sheet11.xml"/><Relationship Id="rId16" Type="http://schemas.openxmlformats.org/officeDocument/2006/relationships/worksheet" Target="worksheets/sheet12.xml"/><Relationship Id="rId17" Type="http://schemas.openxmlformats.org/officeDocument/2006/relationships/worksheet" Target="worksheets/sheet13.xml"/><Relationship Id="rId18" Type="http://schemas.openxmlformats.org/officeDocument/2006/relationships/worksheet" Target="worksheets/sheet14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2:C42"/>
  <sheetViews>
    <sheetView workbookViewId="0" showGridLines="0" defaultGridColor="1"/>
  </sheetViews>
  <sheetFormatPr defaultColWidth="16.3333" defaultRowHeight="19.9" customHeight="1" outlineLevelRow="0" outlineLevelCol="0"/>
  <cols>
    <col min="1" max="1" width="23.8281" style="1" customWidth="1"/>
    <col min="2" max="2" width="57.5781" style="1" customWidth="1"/>
    <col min="3" max="3" width="12.2969" style="1" customWidth="1"/>
    <col min="4" max="16384" width="16.3516" style="1" customWidth="1"/>
  </cols>
  <sheetData>
    <row r="1" ht="27.65" customHeight="1">
      <c r="A1" t="s" s="2">
        <v>0</v>
      </c>
      <c r="B1" s="2"/>
      <c r="C1" s="2"/>
    </row>
    <row r="2" ht="20.25" customHeight="1">
      <c r="A2" t="s" s="3">
        <v>1</v>
      </c>
      <c r="B2" t="s" s="3">
        <v>2</v>
      </c>
      <c r="C2" t="s" s="4">
        <v>3</v>
      </c>
    </row>
    <row r="3" ht="20.25" customHeight="1">
      <c r="A3" s="5">
        <v>0</v>
      </c>
      <c r="B3" s="5">
        <v>1</v>
      </c>
      <c r="C3" t="b" s="6">
        <v>0</v>
      </c>
    </row>
    <row r="4" ht="20.05" customHeight="1">
      <c r="A4" s="7">
        <v>1.23</v>
      </c>
      <c r="B4" s="7">
        <v>1234.5678</v>
      </c>
      <c r="C4" t="b" s="8">
        <v>0</v>
      </c>
    </row>
    <row r="5" ht="20.05" customHeight="1">
      <c r="A5" t="s" s="9">
        <v>4</v>
      </c>
      <c r="B5" t="s" s="9">
        <v>5</v>
      </c>
      <c r="C5" t="b" s="8">
        <v>0</v>
      </c>
    </row>
    <row r="6" ht="20.05" customHeight="1">
      <c r="A6" t="s" s="9">
        <v>6</v>
      </c>
      <c r="B6" t="s" s="10">
        <v>7</v>
      </c>
      <c r="C6" t="b" s="8">
        <v>0</v>
      </c>
    </row>
    <row r="7" ht="20.05" customHeight="1">
      <c r="A7" s="7" cm="1">
        <f t="array" ref="A7">A3</f>
        <v>0</v>
      </c>
      <c r="B7" t="s" s="9">
        <v>8</v>
      </c>
      <c r="C7" t="b" s="7">
        <v>1</v>
      </c>
    </row>
    <row r="8" ht="20.05" customHeight="1">
      <c r="A8" s="7" cm="1">
        <f t="array" ref="A8">SUM(A3:B3)</f>
        <v>1</v>
      </c>
      <c r="B8" t="s" s="9">
        <v>9</v>
      </c>
      <c r="C8" t="b" s="7">
        <v>1</v>
      </c>
    </row>
    <row r="9" ht="20.05" customHeight="1">
      <c r="A9" s="7" cm="1">
        <f t="array" ref="A9">AVERAGE(1.234,123.4,1234000)</f>
        <v>411374.878</v>
      </c>
      <c r="B9" t="s" s="9">
        <v>10</v>
      </c>
      <c r="C9" t="b" s="7">
        <v>1</v>
      </c>
    </row>
    <row r="10" ht="53.8" customHeight="1">
      <c r="A10" t="str" s="11" cm="1">
        <f t="array" ref="A10">"""&amp;A5&amp;"" ""&amp;B5&amp;"""</f>
        <v>"apple" "orange"</v>
      </c>
      <c r="B10" t="s" s="9">
        <v>12</v>
      </c>
      <c r="C10" t="b" s="7">
        <v>1</v>
      </c>
    </row>
    <row r="11" ht="23.95" customHeight="1">
      <c r="A11" t="str" s="12" cm="1">
        <f t="array" ref="A11">A6&amp;" "&amp;B6&amp;" melon"</f>
        <v>lemon lime melon</v>
      </c>
      <c r="B11" t="s" s="9">
        <v>14</v>
      </c>
      <c r="C11" t="b" s="7">
        <v>1</v>
      </c>
    </row>
    <row r="12" ht="20.05" customHeight="1">
      <c r="A12" s="7" cm="1">
        <f t="array" ref="A12">A4*B4</f>
        <v>1518.518394</v>
      </c>
      <c r="B12" t="s" s="9">
        <v>15</v>
      </c>
      <c r="C12" t="b" s="7">
        <v>1</v>
      </c>
    </row>
    <row r="13" ht="20.05" customHeight="1">
      <c r="A13" s="7" cm="1">
        <f t="array" ref="A13">A3+B3-A4</f>
        <v>-0.23</v>
      </c>
      <c r="B13" t="s" s="9">
        <v>16</v>
      </c>
      <c r="C13" t="b" s="7">
        <v>1</v>
      </c>
    </row>
    <row r="14" ht="20.05" customHeight="1">
      <c r="A14" s="7" cm="1">
        <f t="array" ref="A14">A3+SUM(A3:B3)-SUM(A15:B15)</f>
        <v>-3</v>
      </c>
      <c r="B14" t="s" s="9">
        <v>17</v>
      </c>
      <c r="C14" t="b" s="7">
        <v>1</v>
      </c>
    </row>
    <row r="15" ht="20.05" customHeight="1">
      <c r="A15" s="7" cm="1">
        <f t="array" ref="A15">IF(B3&gt;0,COUNTA(A5:B6),COUNTA(A7:B7))</f>
        <v>4</v>
      </c>
      <c r="B15" t="s" s="9">
        <v>18</v>
      </c>
      <c r="C15" t="b" s="7">
        <v>0</v>
      </c>
    </row>
    <row r="16" ht="20.05" customHeight="1">
      <c r="A16" s="7" cm="1">
        <f t="array" ref="A16">MEDIAN(B15,C15,C16,'Powers Sheet - Powers of Two'!A2:C3,'Powers Sheet - Powers of Two'!A$4:$C5)</f>
        <v>1536</v>
      </c>
      <c r="B16" t="s" s="9">
        <v>19</v>
      </c>
      <c r="C16" t="b" s="7">
        <v>1</v>
      </c>
    </row>
    <row r="17" ht="20.05" customHeight="1">
      <c r="A17" t="str" s="13" cm="1">
        <f t="array" ref="A17">_xlfn.TEXTJOIN(",",FALSE,'Main Sheet - Animal Table'!B2:D2)</f>
        <v>cat,dog,hamster</v>
      </c>
      <c r="B17" t="s" s="9">
        <v>21</v>
      </c>
      <c r="C17" t="b" s="7">
        <v>1</v>
      </c>
    </row>
    <row r="18" ht="20.05" customHeight="1">
      <c r="A18" t="str" s="13" cm="1">
        <f t="array" ref="A18">IF(OR(SUM(A15:B15)&gt;1,SUM(A3:B3)&gt;1),"yay","nay")</f>
        <v>yay</v>
      </c>
      <c r="B18" t="s" s="9">
        <v>23</v>
      </c>
      <c r="C18" t="b" s="7">
        <v>0</v>
      </c>
    </row>
    <row r="19" ht="20.05" customHeight="1">
      <c r="A19" s="7" cm="1">
        <f t="array" ref="A19">IF(TRUE,1,0)</f>
        <v>1</v>
      </c>
      <c r="B19" t="s" s="9">
        <v>24</v>
      </c>
      <c r="C19" t="b" s="7">
        <v>0</v>
      </c>
    </row>
    <row r="20" ht="20.05" customHeight="1">
      <c r="A20" t="b" s="7" cm="1">
        <f t="array" ref="A20">IF(1&lt;=2,TRUE,FALSE)</f>
        <v>1</v>
      </c>
      <c r="B20" t="s" s="9">
        <v>25</v>
      </c>
      <c r="C20" t="b" s="7">
        <v>0</v>
      </c>
    </row>
    <row r="21" ht="20.05" customHeight="1">
      <c r="A21" t="b" s="7" cm="1">
        <f t="array" ref="A21">IF(1&gt;=2,TRUE,FALSE)</f>
        <v>0</v>
      </c>
      <c r="B21" t="s" s="9">
        <v>26</v>
      </c>
      <c r="C21" t="b" s="7">
        <v>0</v>
      </c>
    </row>
    <row r="22" ht="20.05" customHeight="1">
      <c r="A22" t="b" s="7" cm="1">
        <f t="array" ref="A22">IF(1&lt;&gt;2,TRUE,FALSE)</f>
        <v>1</v>
      </c>
      <c r="B22" t="s" s="9">
        <v>27</v>
      </c>
      <c r="C22" t="b" s="7">
        <v>0</v>
      </c>
    </row>
    <row r="23" ht="20.05" customHeight="1">
      <c r="A23" s="7" cm="1">
        <f t="array" ref="A23">10+10*20+20</f>
        <v>230</v>
      </c>
      <c r="B23" t="s" s="9">
        <v>28</v>
      </c>
      <c r="C23" t="b" s="7">
        <v>1</v>
      </c>
    </row>
    <row r="24" ht="20.05" customHeight="1">
      <c r="A24" s="14" cm="1">
        <f t="array" ref="A24">((10+10)/(20+20))%</f>
        <v>0.005</v>
      </c>
      <c r="B24" t="s" s="9">
        <v>29</v>
      </c>
      <c r="C24" t="b" s="7">
        <v>0</v>
      </c>
    </row>
    <row r="25" ht="20.05" customHeight="1">
      <c r="A25" s="13" cm="1">
        <f t="array" ref="A25">SUM(#REF!)</f>
      </c>
      <c r="B25" t="s" s="9">
        <v>30</v>
      </c>
      <c r="C25" t="b" s="7">
        <v>0</v>
      </c>
    </row>
    <row r="26" ht="20.05" customHeight="1">
      <c r="A26" s="7" cm="1">
        <f t="array" ref="A26">AVERAGE(A4,1.86)</f>
        <v>1.545</v>
      </c>
      <c r="B26" t="s" s="9">
        <v>31</v>
      </c>
      <c r="C26" t="b" s="7">
        <v>1</v>
      </c>
    </row>
    <row r="27" ht="20.05" customHeight="1">
      <c r="A27" s="7" cm="1">
        <f t="array" ref="A27">COUNTA('Main Sheet - Food Table'!A3:B5)</f>
        <v>6</v>
      </c>
      <c r="B27" t="s" s="9">
        <v>32</v>
      </c>
      <c r="C27" t="b" s="7">
        <v>1</v>
      </c>
    </row>
    <row r="28" ht="20.05" customHeight="1">
      <c r="A28" s="7" cm="1">
        <f t="array" ref="A28">COUNTA('Main Sheet - Food Table'!A3:$B5)</f>
        <v>6</v>
      </c>
      <c r="B28" t="s" s="9">
        <v>33</v>
      </c>
      <c r="C28" t="b" s="7">
        <v>1</v>
      </c>
    </row>
    <row r="29" ht="20.05" customHeight="1">
      <c r="A29" s="7" cm="1">
        <f t="array" ref="A29">COUNTA('Main Sheet - Food Table'!A3:B$5)</f>
        <v>6</v>
      </c>
      <c r="B29" t="s" s="9">
        <v>34</v>
      </c>
      <c r="C29" t="b" s="7">
        <v>1</v>
      </c>
    </row>
    <row r="30" ht="20.05" customHeight="1">
      <c r="A30" s="7" cm="1">
        <f t="array" ref="A30">COUNTA('Main Sheet - Food Table'!A3:$B$5)</f>
        <v>6</v>
      </c>
      <c r="B30" t="s" s="9">
        <v>35</v>
      </c>
      <c r="C30" t="b" s="7">
        <v>1</v>
      </c>
    </row>
    <row r="31" ht="20.05" customHeight="1">
      <c r="A31" s="7" cm="1">
        <f t="array" ref="A31">COUNTA('Main Sheet - Food Table'!A$3:B5)</f>
        <v>6</v>
      </c>
      <c r="B31" t="s" s="9">
        <v>36</v>
      </c>
      <c r="C31" t="b" s="7">
        <v>1</v>
      </c>
    </row>
    <row r="32" ht="20.05" customHeight="1">
      <c r="A32" s="7" cm="1">
        <f t="array" ref="A32">COUNTA('Main Sheet - Food Table'!A$3:B$5)</f>
        <v>6</v>
      </c>
      <c r="B32" t="s" s="9">
        <v>37</v>
      </c>
      <c r="C32" t="b" s="7">
        <v>1</v>
      </c>
    </row>
    <row r="33" ht="20.05" customHeight="1">
      <c r="A33" s="7" cm="1">
        <f t="array" ref="A33">COUNTA('Main Sheet - Food Table'!A$3:$B5)</f>
        <v>6</v>
      </c>
      <c r="B33" t="s" s="9">
        <v>38</v>
      </c>
      <c r="C33" t="b" s="7">
        <v>1</v>
      </c>
    </row>
    <row r="34" ht="20.05" customHeight="1">
      <c r="A34" s="7" cm="1">
        <f t="array" ref="A34">COUNTA('Main Sheet - Food Table'!A$3:$B$5)</f>
        <v>6</v>
      </c>
      <c r="B34" t="s" s="9">
        <v>39</v>
      </c>
      <c r="C34" t="b" s="7">
        <v>1</v>
      </c>
    </row>
    <row r="35" ht="20.05" customHeight="1">
      <c r="A35" s="7" cm="1">
        <f t="array" ref="A35">COUNTA('Main Sheet - Food Table'!$A3:B5)</f>
        <v>6</v>
      </c>
      <c r="B35" t="s" s="9">
        <v>40</v>
      </c>
      <c r="C35" t="b" s="7">
        <v>1</v>
      </c>
    </row>
    <row r="36" ht="20.05" customHeight="1">
      <c r="A36" s="7" cm="1">
        <f t="array" ref="A36">COUNTA('Main Sheet - Food Table'!$A3:$B5)</f>
        <v>6</v>
      </c>
      <c r="B36" t="s" s="9">
        <v>41</v>
      </c>
      <c r="C36" t="b" s="7">
        <v>1</v>
      </c>
    </row>
    <row r="37" ht="20.05" customHeight="1">
      <c r="A37" s="7" cm="1">
        <f t="array" ref="A37">COUNTA('Main Sheet - Food Table'!$A3:B$5)</f>
        <v>6</v>
      </c>
      <c r="B37" t="s" s="9">
        <v>42</v>
      </c>
      <c r="C37" t="b" s="7">
        <v>1</v>
      </c>
    </row>
    <row r="38" ht="20.05" customHeight="1">
      <c r="A38" s="7" cm="1">
        <f t="array" ref="A38">COUNTA('Main Sheet - Food Table'!$A3:$B$5)</f>
        <v>6</v>
      </c>
      <c r="B38" t="s" s="9">
        <v>43</v>
      </c>
      <c r="C38" t="b" s="7">
        <v>1</v>
      </c>
    </row>
    <row r="39" ht="20.05" customHeight="1">
      <c r="A39" s="7" cm="1">
        <f t="array" ref="A39">COUNTA('Main Sheet - Food Table'!$A$3:B5)</f>
        <v>6</v>
      </c>
      <c r="B39" t="s" s="9">
        <v>44</v>
      </c>
      <c r="C39" t="b" s="7">
        <v>1</v>
      </c>
    </row>
    <row r="40" ht="20.05" customHeight="1">
      <c r="A40" s="7" cm="1">
        <f t="array" ref="A40">COUNTA('Main Sheet - Food Table'!$A$3:$B5)</f>
        <v>6</v>
      </c>
      <c r="B40" t="s" s="9">
        <v>45</v>
      </c>
      <c r="C40" t="b" s="7">
        <v>1</v>
      </c>
    </row>
    <row r="41" ht="20.05" customHeight="1">
      <c r="A41" s="7" cm="1">
        <f t="array" ref="A41">COUNTA('Main Sheet - Food Table'!$A$3:B$5)</f>
        <v>6</v>
      </c>
      <c r="B41" t="s" s="9">
        <v>46</v>
      </c>
      <c r="C41" t="b" s="7">
        <v>1</v>
      </c>
    </row>
    <row r="42" ht="20.05" customHeight="1">
      <c r="A42" s="7" cm="1">
        <f t="array" ref="A42">COUNTA('Main Sheet - Food Table'!$A$3:$B$5)</f>
        <v>6</v>
      </c>
      <c r="B42" t="s" s="9">
        <v>47</v>
      </c>
      <c r="C42" t="b" s="7">
        <v>1</v>
      </c>
    </row>
  </sheetData>
  <mergeCells count="1">
    <mergeCell ref="A1:C1"/>
  </mergeCell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dimension ref="A2:C6"/>
  <sheetViews>
    <sheetView workbookViewId="0" showGridLines="0" defaultGridColor="1"/>
  </sheetViews>
  <sheetFormatPr defaultColWidth="16.3333" defaultRowHeight="19.9" customHeight="1" outlineLevelRow="0" outlineLevelCol="0"/>
  <cols>
    <col min="1" max="3" width="16.3516" style="15" customWidth="1"/>
    <col min="4" max="16384" width="16.3516" style="15" customWidth="1"/>
  </cols>
  <sheetData>
    <row r="1" ht="27.65" customHeight="1">
      <c r="A1" t="s" s="2">
        <v>48</v>
      </c>
      <c r="B1" s="2"/>
      <c r="C1" s="2"/>
    </row>
    <row r="2" ht="20.25" customHeight="1">
      <c r="A2" t="s" s="4">
        <v>49</v>
      </c>
      <c r="B2" t="s" s="4">
        <v>50</v>
      </c>
      <c r="C2" t="s" s="4">
        <v>51</v>
      </c>
    </row>
    <row r="3" ht="20.25" customHeight="1">
      <c r="A3" t="s" s="16">
        <v>52</v>
      </c>
      <c r="B3" t="s" s="16">
        <v>53</v>
      </c>
      <c r="C3" t="s" s="16">
        <v>54</v>
      </c>
    </row>
    <row r="4" ht="20.05" customHeight="1">
      <c r="A4" t="s" s="10">
        <v>55</v>
      </c>
      <c r="B4" t="s" s="10">
        <v>56</v>
      </c>
      <c r="C4" t="s" s="10">
        <v>57</v>
      </c>
    </row>
    <row r="5" ht="20.05" customHeight="1">
      <c r="A5" t="s" s="10">
        <v>4</v>
      </c>
      <c r="B5" t="s" s="10">
        <v>58</v>
      </c>
      <c r="C5" t="s" s="10">
        <v>59</v>
      </c>
    </row>
    <row r="6" ht="20.05" customHeight="1">
      <c r="A6" t="s" s="10">
        <v>5</v>
      </c>
      <c r="B6" t="s" s="10">
        <v>60</v>
      </c>
      <c r="C6" t="s" s="10">
        <v>61</v>
      </c>
    </row>
  </sheetData>
  <mergeCells count="1">
    <mergeCell ref="A1:C1"/>
  </mergeCell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2:D6"/>
  <sheetViews>
    <sheetView workbookViewId="0" showGridLines="0" defaultGridColor="1">
      <pane topLeftCell="A3" xSplit="0" ySplit="2" activePane="bottomLeft" state="frozen"/>
    </sheetView>
  </sheetViews>
  <sheetFormatPr defaultColWidth="16.3333" defaultRowHeight="19.9" customHeight="1" outlineLevelRow="0" outlineLevelCol="0"/>
  <cols>
    <col min="1" max="4" width="16.3516" style="17" customWidth="1"/>
    <col min="5" max="16384" width="16.3516" style="17" customWidth="1"/>
  </cols>
  <sheetData>
    <row r="1" ht="27.65" customHeight="1">
      <c r="A1" t="s" s="2">
        <v>62</v>
      </c>
      <c r="B1" s="2"/>
      <c r="C1" s="2"/>
      <c r="D1" s="2"/>
    </row>
    <row r="2" ht="20.25" customHeight="1">
      <c r="A2" t="s" s="4">
        <v>49</v>
      </c>
      <c r="B2" t="s" s="4">
        <v>50</v>
      </c>
      <c r="C2" t="s" s="4">
        <v>63</v>
      </c>
      <c r="D2" t="s" s="4">
        <v>64</v>
      </c>
    </row>
    <row r="3" ht="20.25" customHeight="1">
      <c r="A3" t="s" s="16">
        <v>65</v>
      </c>
      <c r="B3" t="s" s="16">
        <v>66</v>
      </c>
      <c r="C3" t="s" s="16">
        <v>67</v>
      </c>
      <c r="D3" t="s" s="16">
        <v>68</v>
      </c>
    </row>
    <row r="4" ht="20.05" customHeight="1">
      <c r="A4" t="s" s="10">
        <v>69</v>
      </c>
      <c r="B4" t="s" s="10">
        <v>70</v>
      </c>
      <c r="C4" t="s" s="10">
        <v>71</v>
      </c>
      <c r="D4" t="s" s="10">
        <v>72</v>
      </c>
    </row>
    <row r="5" ht="20.05" customHeight="1">
      <c r="A5" t="s" s="10">
        <v>73</v>
      </c>
      <c r="B5" t="s" s="10">
        <v>74</v>
      </c>
      <c r="C5" t="s" s="10">
        <v>75</v>
      </c>
      <c r="D5" t="s" s="10">
        <v>76</v>
      </c>
    </row>
    <row r="6" ht="20.05" customHeight="1">
      <c r="A6" t="s" s="10">
        <v>6</v>
      </c>
      <c r="B6" t="s" s="10">
        <v>77</v>
      </c>
      <c r="C6" t="s" s="10">
        <v>78</v>
      </c>
      <c r="D6" t="s" s="10">
        <v>79</v>
      </c>
    </row>
  </sheetData>
  <mergeCells count="1">
    <mergeCell ref="A1:D1"/>
  </mergeCell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xl/worksheets/sheet4.xml><?xml version="1.0" encoding="utf-8"?>
<worksheet xmlns:r="http://schemas.openxmlformats.org/officeDocument/2006/relationships" xmlns="http://schemas.openxmlformats.org/spreadsheetml/2006/main">
  <dimension ref="A2:F6"/>
  <sheetViews>
    <sheetView workbookViewId="0" showGridLines="0" defaultGridColor="1">
      <pane topLeftCell="B1" xSplit="1" ySplit="0" activePane="topRight" state="frozen"/>
    </sheetView>
  </sheetViews>
  <sheetFormatPr defaultColWidth="16.3333" defaultRowHeight="19.9" customHeight="1" outlineLevelRow="0" outlineLevelCol="0"/>
  <cols>
    <col min="1" max="4" width="16.3516" style="18" customWidth="1"/>
    <col min="5" max="6" hidden="1" width="16.3333" style="18" customWidth="1"/>
    <col min="7" max="16384" width="16.3516" style="18" customWidth="1"/>
  </cols>
  <sheetData>
    <row r="1" ht="27.65" customHeight="1">
      <c r="A1" t="s" s="2">
        <v>80</v>
      </c>
      <c r="B1" s="2"/>
      <c r="C1" s="2"/>
      <c r="D1" s="2"/>
      <c r="E1" s="2"/>
      <c r="F1" s="2"/>
    </row>
    <row r="2" ht="20.05" customHeight="1">
      <c r="A2" t="s" s="19">
        <v>81</v>
      </c>
      <c r="B2" t="s" s="20">
        <v>82</v>
      </c>
      <c r="C2" t="s" s="10">
        <v>83</v>
      </c>
      <c r="D2" t="s" s="10">
        <v>84</v>
      </c>
      <c r="E2" s="21"/>
      <c r="F2" s="21"/>
    </row>
    <row r="3" ht="20.05" customHeight="1">
      <c r="A3" t="s" s="19">
        <v>85</v>
      </c>
      <c r="B3" t="s" s="20">
        <v>86</v>
      </c>
      <c r="C3" t="s" s="10">
        <v>87</v>
      </c>
      <c r="D3" t="s" s="10">
        <v>88</v>
      </c>
      <c r="E3" s="21"/>
      <c r="F3" s="21"/>
    </row>
    <row r="4" ht="20.05" customHeight="1">
      <c r="A4" t="s" s="19">
        <v>89</v>
      </c>
      <c r="B4" t="s" s="20">
        <v>90</v>
      </c>
      <c r="C4" t="s" s="10">
        <v>91</v>
      </c>
      <c r="D4" t="s" s="10">
        <v>92</v>
      </c>
      <c r="E4" s="21"/>
      <c r="F4" s="21"/>
    </row>
    <row r="5" ht="20.05" customHeight="1">
      <c r="A5" t="s" s="19">
        <v>93</v>
      </c>
      <c r="B5" t="s" s="20">
        <v>94</v>
      </c>
      <c r="C5" t="s" s="10">
        <v>95</v>
      </c>
      <c r="D5" t="s" s="10">
        <v>96</v>
      </c>
      <c r="E5" s="21"/>
      <c r="F5" s="21"/>
    </row>
    <row r="6" ht="20.05" customHeight="1">
      <c r="A6" t="s" s="19">
        <v>97</v>
      </c>
      <c r="B6" t="s" s="20">
        <v>98</v>
      </c>
      <c r="C6" t="s" s="10">
        <v>99</v>
      </c>
      <c r="D6" t="s" s="10">
        <v>100</v>
      </c>
      <c r="E6" s="21"/>
      <c r="F6" s="21"/>
    </row>
  </sheetData>
  <mergeCells count="1">
    <mergeCell ref="A1:F1"/>
  </mergeCell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xl/worksheets/sheet5.xml><?xml version="1.0" encoding="utf-8"?>
<worksheet xmlns:r="http://schemas.openxmlformats.org/officeDocument/2006/relationships" xmlns="http://schemas.openxmlformats.org/spreadsheetml/2006/main">
  <dimension ref="A2:F6"/>
  <sheetViews>
    <sheetView workbookViewId="0" showGridLines="0" defaultGridColor="1">
      <pane topLeftCell="B1" xSplit="1" ySplit="0" activePane="topRight" state="frozen"/>
    </sheetView>
  </sheetViews>
  <sheetFormatPr defaultColWidth="16.3333" defaultRowHeight="19.9" customHeight="1" outlineLevelRow="0" outlineLevelCol="0"/>
  <cols>
    <col min="1" max="4" width="16.3516" style="22" customWidth="1"/>
    <col min="5" max="6" hidden="1" width="16.3333" style="22" customWidth="1"/>
    <col min="7" max="16384" width="16.3516" style="22" customWidth="1"/>
  </cols>
  <sheetData>
    <row r="1" ht="27.65" customHeight="1">
      <c r="A1" t="s" s="2">
        <v>101</v>
      </c>
      <c r="B1" s="2"/>
      <c r="C1" s="2"/>
      <c r="D1" s="2"/>
      <c r="E1" s="2"/>
      <c r="F1" s="2"/>
    </row>
    <row r="2" ht="20.05" customHeight="1">
      <c r="A2" t="s" s="19">
        <v>81</v>
      </c>
      <c r="B2" t="s" s="20">
        <v>102</v>
      </c>
      <c r="C2" t="s" s="10">
        <v>103</v>
      </c>
      <c r="D2" t="s" s="10">
        <v>104</v>
      </c>
      <c r="E2" s="21"/>
      <c r="F2" s="21"/>
    </row>
    <row r="3" ht="20.05" customHeight="1">
      <c r="A3" t="s" s="19">
        <v>85</v>
      </c>
      <c r="B3" t="s" s="20">
        <v>105</v>
      </c>
      <c r="C3" t="s" s="10">
        <v>106</v>
      </c>
      <c r="D3" t="s" s="10">
        <v>107</v>
      </c>
      <c r="E3" s="21"/>
      <c r="F3" s="21"/>
    </row>
    <row r="4" ht="20.05" customHeight="1">
      <c r="A4" t="s" s="19">
        <v>89</v>
      </c>
      <c r="B4" t="s" s="20">
        <v>57</v>
      </c>
      <c r="C4" t="s" s="10">
        <v>108</v>
      </c>
      <c r="D4" t="s" s="10">
        <v>91</v>
      </c>
      <c r="E4" s="21"/>
      <c r="F4" s="21"/>
    </row>
    <row r="5" ht="20.05" customHeight="1">
      <c r="A5" t="s" s="19">
        <v>109</v>
      </c>
      <c r="B5" t="s" s="20">
        <v>110</v>
      </c>
      <c r="C5" t="s" s="10">
        <v>111</v>
      </c>
      <c r="D5" t="s" s="10">
        <v>112</v>
      </c>
      <c r="E5" s="21"/>
      <c r="F5" s="21"/>
    </row>
    <row r="6" ht="20.05" customHeight="1">
      <c r="A6" t="s" s="19">
        <v>97</v>
      </c>
      <c r="B6" t="s" s="20">
        <v>113</v>
      </c>
      <c r="C6" t="s" s="10">
        <v>114</v>
      </c>
      <c r="D6" t="s" s="10">
        <v>115</v>
      </c>
      <c r="E6" s="21"/>
      <c r="F6" s="21"/>
    </row>
  </sheetData>
  <mergeCells count="1">
    <mergeCell ref="A1:F1"/>
  </mergeCell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xl/worksheets/sheet6.xml><?xml version="1.0" encoding="utf-8"?>
<worksheet xmlns:r="http://schemas.openxmlformats.org/officeDocument/2006/relationships" xmlns="http://schemas.openxmlformats.org/spreadsheetml/2006/main">
  <dimension ref="A2:G7"/>
  <sheetViews>
    <sheetView workbookViewId="0" showGridLines="0" defaultGridColor="1">
      <pane topLeftCell="C1" xSplit="2" ySplit="0" activePane="topRight" state="frozen"/>
    </sheetView>
  </sheetViews>
  <sheetFormatPr defaultColWidth="16.3333" defaultRowHeight="19.9" customHeight="1" outlineLevelRow="0" outlineLevelCol="0"/>
  <cols>
    <col min="1" max="5" width="16.3516" style="23" customWidth="1"/>
    <col min="6" max="7" hidden="1" width="16.3333" style="23" customWidth="1"/>
    <col min="8" max="16384" width="16.3516" style="23" customWidth="1"/>
  </cols>
  <sheetData>
    <row r="1" ht="27.65" customHeight="1">
      <c r="A1" t="s" s="2">
        <v>116</v>
      </c>
      <c r="B1" s="2"/>
      <c r="C1" s="2"/>
      <c r="D1" s="2"/>
      <c r="E1" s="2"/>
      <c r="F1" s="2"/>
      <c r="G1" s="2"/>
    </row>
    <row r="2" ht="20.05" customHeight="1">
      <c r="A2" t="s" s="24">
        <v>117</v>
      </c>
      <c r="B2" t="s" s="19">
        <v>81</v>
      </c>
      <c r="C2" t="s" s="20">
        <v>118</v>
      </c>
      <c r="D2" t="s" s="10">
        <v>119</v>
      </c>
      <c r="E2" t="s" s="10">
        <v>120</v>
      </c>
      <c r="F2" s="21"/>
      <c r="G2" s="21"/>
    </row>
    <row r="3" ht="20.05" customHeight="1">
      <c r="A3" t="s" s="24">
        <v>121</v>
      </c>
      <c r="B3" t="s" s="19">
        <v>85</v>
      </c>
      <c r="C3" t="s" s="20">
        <v>122</v>
      </c>
      <c r="D3" t="s" s="10">
        <v>123</v>
      </c>
      <c r="E3" t="s" s="10">
        <v>124</v>
      </c>
      <c r="F3" s="21"/>
      <c r="G3" s="21"/>
    </row>
    <row r="4" ht="20.05" customHeight="1">
      <c r="A4" t="s" s="24">
        <v>125</v>
      </c>
      <c r="B4" t="s" s="19">
        <v>126</v>
      </c>
      <c r="C4" t="s" s="20">
        <v>113</v>
      </c>
      <c r="D4" t="s" s="10">
        <v>127</v>
      </c>
      <c r="E4" t="s" s="10">
        <v>114</v>
      </c>
      <c r="F4" s="21"/>
      <c r="G4" s="21"/>
    </row>
    <row r="5" ht="20.05" customHeight="1">
      <c r="A5" t="s" s="24">
        <v>128</v>
      </c>
      <c r="B5" t="s" s="19">
        <v>89</v>
      </c>
      <c r="C5" t="s" s="20">
        <v>129</v>
      </c>
      <c r="D5" t="s" s="10">
        <v>130</v>
      </c>
      <c r="E5" t="s" s="10">
        <v>131</v>
      </c>
      <c r="F5" s="21"/>
      <c r="G5" s="21"/>
    </row>
    <row r="6" ht="20.05" customHeight="1">
      <c r="A6" t="s" s="24">
        <v>132</v>
      </c>
      <c r="B6" t="s" s="19">
        <v>93</v>
      </c>
      <c r="C6" t="s" s="20">
        <v>133</v>
      </c>
      <c r="D6" t="s" s="10">
        <v>134</v>
      </c>
      <c r="E6" t="s" s="10">
        <v>135</v>
      </c>
      <c r="F6" s="21"/>
      <c r="G6" s="21"/>
    </row>
    <row r="7" ht="20.05" customHeight="1">
      <c r="A7" t="s" s="24">
        <v>136</v>
      </c>
      <c r="B7" t="s" s="19">
        <v>137</v>
      </c>
      <c r="C7" t="s" s="20">
        <v>138</v>
      </c>
      <c r="D7" t="s" s="10">
        <v>139</v>
      </c>
      <c r="E7" t="s" s="10">
        <v>140</v>
      </c>
      <c r="F7" s="21"/>
      <c r="G7" s="21"/>
    </row>
  </sheetData>
  <mergeCells count="1">
    <mergeCell ref="A1:G1"/>
  </mergeCell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xl/worksheets/sheet7.xml><?xml version="1.0" encoding="utf-8"?>
<worksheet xmlns:r="http://schemas.openxmlformats.org/officeDocument/2006/relationships" xmlns="http://schemas.openxmlformats.org/spreadsheetml/2006/main">
  <dimension ref="A2:C18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1" width="13.7344" style="25" customWidth="1"/>
    <col min="2" max="3" width="16.3516" style="25" customWidth="1"/>
    <col min="4" max="16384" width="16.3516" style="25" customWidth="1"/>
  </cols>
  <sheetData>
    <row r="1" ht="27.65" customHeight="1">
      <c r="A1" t="s" s="2">
        <v>141</v>
      </c>
      <c r="B1" s="2"/>
      <c r="C1" s="2"/>
    </row>
    <row r="2" ht="20.25" customHeight="1">
      <c r="A2" s="26"/>
      <c r="B2" t="s" s="3">
        <v>142</v>
      </c>
      <c r="C2" t="s" s="3">
        <v>143</v>
      </c>
    </row>
    <row r="3" ht="20.25" customHeight="1">
      <c r="A3" s="27">
        <v>1</v>
      </c>
      <c r="B3" t="s" s="28">
        <v>4</v>
      </c>
      <c r="C3" t="s" s="16">
        <v>144</v>
      </c>
    </row>
    <row r="4" ht="20.05" customHeight="1">
      <c r="A4" s="29">
        <v>2</v>
      </c>
      <c r="B4" t="s" s="20">
        <v>145</v>
      </c>
      <c r="C4" t="s" s="10">
        <v>146</v>
      </c>
    </row>
    <row r="5" ht="20.05" customHeight="1">
      <c r="A5" t="b" s="29">
        <v>1</v>
      </c>
      <c r="B5" t="s" s="20">
        <v>147</v>
      </c>
      <c r="C5" t="s" s="10">
        <v>148</v>
      </c>
    </row>
    <row r="6" ht="20.05" customHeight="1">
      <c r="A6" t="b" s="29">
        <v>0</v>
      </c>
      <c r="B6" t="s" s="20">
        <v>149</v>
      </c>
      <c r="C6" t="s" s="10">
        <v>150</v>
      </c>
    </row>
    <row r="7" ht="20.05" customHeight="1">
      <c r="A7" t="s" s="30">
        <v>151</v>
      </c>
      <c r="B7" t="s" s="20">
        <v>152</v>
      </c>
      <c r="C7" t="s" s="10">
        <v>153</v>
      </c>
    </row>
    <row r="8" ht="20.05" customHeight="1">
      <c r="A8" t="s" s="30">
        <v>151</v>
      </c>
      <c r="B8" t="s" s="20">
        <v>154</v>
      </c>
      <c r="C8" t="s" s="10">
        <v>155</v>
      </c>
    </row>
    <row r="9" ht="20.05" customHeight="1">
      <c r="A9" s="31"/>
      <c r="B9" t="s" s="20">
        <v>156</v>
      </c>
      <c r="C9" t="s" s="10">
        <v>157</v>
      </c>
    </row>
    <row r="10" ht="20.05" customHeight="1">
      <c r="A10" s="30"/>
      <c r="B10" t="s" s="20">
        <v>6</v>
      </c>
      <c r="C10" t="s" s="10">
        <v>158</v>
      </c>
    </row>
    <row r="11" ht="20.05" customHeight="1">
      <c r="A11" s="30"/>
      <c r="B11" t="s" s="20">
        <v>159</v>
      </c>
      <c r="C11" t="s" s="10">
        <v>160</v>
      </c>
    </row>
    <row r="12" ht="20.05" customHeight="1">
      <c r="A12" s="30"/>
      <c r="B12" t="s" s="20">
        <v>161</v>
      </c>
      <c r="C12" t="s" s="10">
        <v>162</v>
      </c>
    </row>
    <row r="13" ht="20.05" customHeight="1">
      <c r="A13" s="30"/>
      <c r="B13" t="s" s="20">
        <v>163</v>
      </c>
      <c r="C13" t="s" s="10">
        <v>164</v>
      </c>
    </row>
    <row r="14" ht="20.05" customHeight="1">
      <c r="A14" s="30"/>
      <c r="B14" t="s" s="20">
        <v>165</v>
      </c>
      <c r="C14" t="s" s="10">
        <v>166</v>
      </c>
    </row>
    <row r="15" ht="20.05" customHeight="1">
      <c r="A15" s="30"/>
      <c r="B15" t="s" s="20">
        <v>167</v>
      </c>
      <c r="C15" t="s" s="10">
        <v>168</v>
      </c>
    </row>
    <row r="16" ht="20.05" customHeight="1">
      <c r="A16" s="30"/>
      <c r="B16" t="s" s="20">
        <v>169</v>
      </c>
      <c r="C16" t="s" s="10">
        <v>170</v>
      </c>
    </row>
    <row r="17" ht="20.05" customHeight="1">
      <c r="A17" s="30"/>
      <c r="B17" t="s" s="20">
        <v>171</v>
      </c>
      <c r="C17" t="s" s="10">
        <v>172</v>
      </c>
    </row>
    <row r="18" ht="20.05" customHeight="1">
      <c r="A18" s="30"/>
      <c r="B18" t="s" s="20">
        <v>173</v>
      </c>
      <c r="C18" t="s" s="10">
        <v>174</v>
      </c>
    </row>
  </sheetData>
  <mergeCells count="1">
    <mergeCell ref="A1:C1"/>
  </mergeCell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xl/worksheets/sheet8.xml><?xml version="1.0" encoding="utf-8"?>
<worksheet xmlns:r="http://schemas.openxmlformats.org/officeDocument/2006/relationships" xmlns="http://schemas.openxmlformats.org/spreadsheetml/2006/main">
  <dimension ref="A2:A5"/>
  <sheetViews>
    <sheetView workbookViewId="0" showGridLines="0" defaultGridColor="1">
      <pane topLeftCell="A3" xSplit="0" ySplit="2" activePane="bottomLeft" state="frozen"/>
    </sheetView>
  </sheetViews>
  <sheetFormatPr defaultColWidth="16.3333" defaultRowHeight="19.9" customHeight="1" outlineLevelRow="0" outlineLevelCol="0"/>
  <cols>
    <col min="1" max="1" width="16.3516" style="32" customWidth="1"/>
    <col min="2" max="16384" width="16.3516" style="32" customWidth="1"/>
  </cols>
  <sheetData>
    <row r="1" ht="27.65" customHeight="1">
      <c r="A1" t="s" s="2">
        <v>175</v>
      </c>
    </row>
    <row r="2" ht="20.25" customHeight="1">
      <c r="A2" t="s" s="4">
        <v>176</v>
      </c>
    </row>
    <row r="3" ht="20.25" customHeight="1">
      <c r="A3" t="s" s="16">
        <v>177</v>
      </c>
    </row>
    <row r="4" ht="20.05" customHeight="1">
      <c r="A4" t="s" s="10">
        <v>178</v>
      </c>
    </row>
    <row r="5" ht="20.05" customHeight="1">
      <c r="A5" t="s" s="10">
        <v>179</v>
      </c>
    </row>
  </sheetData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xl/worksheets/sheet9.xml><?xml version="1.0" encoding="utf-8"?>
<worksheet xmlns:r="http://schemas.openxmlformats.org/officeDocument/2006/relationships" xmlns="http://schemas.openxmlformats.org/spreadsheetml/2006/main">
  <dimension ref="A2:C61"/>
  <sheetViews>
    <sheetView workbookViewId="0" showGridLines="0" defaultGridColor="1">
      <pane topLeftCell="A3" xSplit="0" ySplit="2" activePane="bottomLeft" state="frozen"/>
    </sheetView>
  </sheetViews>
  <sheetFormatPr defaultColWidth="16.3333" defaultRowHeight="19.9" customHeight="1" outlineLevelRow="0" outlineLevelCol="0"/>
  <cols>
    <col min="1" max="1" width="23.8281" style="33" customWidth="1"/>
    <col min="2" max="2" width="54.5" style="33" customWidth="1"/>
    <col min="3" max="3" width="12.3203" style="33" customWidth="1"/>
    <col min="4" max="16384" width="16.3516" style="33" customWidth="1"/>
  </cols>
  <sheetData>
    <row r="1" ht="27.65" customHeight="1">
      <c r="A1" t="s" s="2">
        <v>180</v>
      </c>
      <c r="B1" s="2"/>
      <c r="C1" s="2"/>
    </row>
    <row r="2" ht="20.25" customHeight="1">
      <c r="A2" t="s" s="3">
        <v>1</v>
      </c>
      <c r="B2" t="s" s="3">
        <v>2</v>
      </c>
      <c r="C2" t="s" s="3">
        <v>3</v>
      </c>
    </row>
    <row r="3" ht="20.25" customHeight="1">
      <c r="A3" s="34" cm="1">
        <f t="array" ref="A3">SUM('Powers Sheet - Powers of Two'!A2:C3)</f>
        <v>2016</v>
      </c>
      <c r="B3" t="s" s="35">
        <v>181</v>
      </c>
      <c r="C3" t="b" s="34">
        <v>1</v>
      </c>
    </row>
    <row r="4" ht="20.05" customHeight="1">
      <c r="A4" s="36" cm="1">
        <f t="array" ref="A4">SUM('Powers Sheet - Powers of Two'!A$2:C3)</f>
        <v>2016</v>
      </c>
      <c r="B4" t="s" s="37">
        <v>182</v>
      </c>
      <c r="C4" t="b" s="36">
        <v>1</v>
      </c>
    </row>
    <row r="5" ht="20.05" customHeight="1">
      <c r="A5" s="36" cm="1">
        <f t="array" ref="A5">SUM('Powers Sheet - Powers of Two'!A2:C$3)</f>
        <v>2016</v>
      </c>
      <c r="B5" t="s" s="37">
        <v>183</v>
      </c>
      <c r="C5" t="b" s="36">
        <v>1</v>
      </c>
    </row>
    <row r="6" ht="20.05" customHeight="1">
      <c r="A6" s="36" cm="1">
        <f t="array" ref="A6">SUM('Powers Sheet - Powers of Two'!A$2:C$3)</f>
        <v>2016</v>
      </c>
      <c r="B6" t="s" s="37">
        <v>184</v>
      </c>
      <c r="C6" t="b" s="36">
        <v>1</v>
      </c>
    </row>
    <row r="7" ht="20.05" customHeight="1">
      <c r="A7" s="36" cm="1">
        <f t="array" ref="A7">SUM('Powers Sheet - Powers of Two'!B2:C6)</f>
        <v>898752</v>
      </c>
      <c r="B7" t="s" s="37">
        <v>185</v>
      </c>
      <c r="C7" t="b" s="36">
        <v>1</v>
      </c>
    </row>
    <row r="8" ht="20.05" customHeight="1">
      <c r="A8" s="36" cm="1">
        <f t="array" ref="A8">SUM('Powers Sheet - Powers of Two'!$B2:C6)</f>
        <v>898752</v>
      </c>
      <c r="B8" t="s" s="37">
        <v>186</v>
      </c>
      <c r="C8" t="b" s="36">
        <v>1</v>
      </c>
    </row>
    <row r="9" ht="20.05" customHeight="1">
      <c r="A9" s="36" cm="1">
        <f t="array" ref="A9">SUM('Powers Sheet - Powers of Two'!B2:$C6)</f>
        <v>898752</v>
      </c>
      <c r="B9" t="s" s="37">
        <v>187</v>
      </c>
      <c r="C9" t="b" s="36">
        <v>1</v>
      </c>
    </row>
    <row r="10" ht="20.05" customHeight="1">
      <c r="A10" s="36" cm="1">
        <f t="array" ref="A10">SUM('Powers Sheet - Powers of Two'!$B2:$C6)</f>
        <v>898752</v>
      </c>
      <c r="B10" t="s" s="37">
        <v>188</v>
      </c>
      <c r="C10" t="b" s="36">
        <v>1</v>
      </c>
    </row>
    <row r="11" ht="20.05" customHeight="1">
      <c r="A11" s="36" cm="1">
        <f t="array" ref="A11">COUNTA('Main Sheet - Animal Table'!B2:F2)</f>
        <v>3</v>
      </c>
      <c r="B11" t="s" s="37">
        <v>189</v>
      </c>
      <c r="C11" t="b" s="36">
        <v>1</v>
      </c>
    </row>
    <row r="12" ht="20.05" customHeight="1">
      <c r="A12" s="36" cm="1">
        <f t="array" ref="A12">COUNTA('Main Sheet - Animal Table'!B$2:F$2)</f>
        <v>3</v>
      </c>
      <c r="B12" t="s" s="37">
        <v>190</v>
      </c>
      <c r="C12" t="b" s="36">
        <v>1</v>
      </c>
    </row>
    <row r="13" ht="20.05" customHeight="1">
      <c r="A13" s="36" cm="1">
        <f t="array" ref="A13">COUNTA('Main Sheet - Animal Table 2'!B5:F5)</f>
        <v>3</v>
      </c>
      <c r="B13" t="s" s="37">
        <v>191</v>
      </c>
      <c r="C13" t="b" s="36">
        <v>1</v>
      </c>
    </row>
    <row r="14" ht="20.05" customHeight="1">
      <c r="A14" s="36" cm="1">
        <f t="array" ref="A14">COUNTA('Main Sheet - Animal Table 2'!B$5:F$5)</f>
        <v>3</v>
      </c>
      <c r="B14" t="s" s="37">
        <v>192</v>
      </c>
      <c r="C14" t="b" s="36">
        <v>0</v>
      </c>
    </row>
    <row r="15" ht="20.05" customHeight="1">
      <c r="A15" s="36" cm="1">
        <f t="array" ref="A15">COUNTA('Main Sheet - Animal Table'!B3:F4)</f>
        <v>6</v>
      </c>
      <c r="B15" t="s" s="37">
        <v>193</v>
      </c>
      <c r="C15" t="b" s="36">
        <v>1</v>
      </c>
    </row>
    <row r="16" ht="20.05" customHeight="1">
      <c r="A16" s="36" cm="1">
        <f t="array" ref="A16">COUNTA('Main Sheet - Food Table'!A3:A6)</f>
        <v>4</v>
      </c>
      <c r="B16" t="s" s="37">
        <v>194</v>
      </c>
      <c r="C16" t="b" s="36">
        <v>1</v>
      </c>
    </row>
    <row r="17" ht="20.05" customHeight="1">
      <c r="A17" s="36" cm="1">
        <f t="array" ref="A17">COUNTA('Main Sheet - Food Table'!$A3:$A6)</f>
        <v>4</v>
      </c>
      <c r="B17" t="s" s="37">
        <v>195</v>
      </c>
      <c r="C17" t="b" s="36">
        <v>1</v>
      </c>
    </row>
    <row r="18" ht="20.05" customHeight="1">
      <c r="A18" s="36" cm="1">
        <f t="array" ref="A18">COUNTA('Main Sheet - Food Table 2'!C3:C6)</f>
        <v>4</v>
      </c>
      <c r="B18" t="s" s="37">
        <v>196</v>
      </c>
      <c r="C18" t="b" s="36">
        <v>1</v>
      </c>
    </row>
    <row r="19" ht="20.05" customHeight="1">
      <c r="A19" s="36" cm="1">
        <f t="array" ref="A19">COUNTA('Main Sheet - Extra Column'!A3:A5)</f>
        <v>3</v>
      </c>
      <c r="B19" t="s" s="37">
        <v>197</v>
      </c>
      <c r="C19" t="b" s="36">
        <v>1</v>
      </c>
    </row>
    <row r="20" ht="20.05" customHeight="1">
      <c r="A20" s="36" cm="1">
        <f t="array" ref="A20">COUNTA('Powers Sheet - Extra Column'!A3:A5)</f>
        <v>3</v>
      </c>
      <c r="B20" t="s" s="37">
        <v>198</v>
      </c>
      <c r="C20" t="b" s="36">
        <v>1</v>
      </c>
    </row>
    <row r="21" ht="20.05" customHeight="1">
      <c r="A21" s="36" cm="1">
        <f t="array" ref="A21">COUNTA('Main Sheet - Food Table 2'!$C3:$C6)</f>
        <v>4</v>
      </c>
      <c r="B21" t="s" s="37">
        <v>199</v>
      </c>
      <c r="C21" t="b" s="36">
        <v>1</v>
      </c>
    </row>
    <row r="22" ht="20.05" customHeight="1">
      <c r="A22" s="36" cm="1">
        <f t="array" ref="A22">COUNTA('Main Sheet - Animal Table'!B$6:F$6)</f>
        <v>3</v>
      </c>
      <c r="B22" t="s" s="37">
        <v>200</v>
      </c>
      <c r="C22" t="b" s="36">
        <v>1</v>
      </c>
    </row>
    <row r="23" ht="20.05" customHeight="1">
      <c r="A23" s="36" cm="1">
        <f t="array" ref="A23">COUNTA('Main Sheet - Animal Table 3'!C5:G7)</f>
        <v>9</v>
      </c>
      <c r="B23" t="s" s="37">
        <v>201</v>
      </c>
      <c r="C23" t="b" s="36">
        <v>1</v>
      </c>
    </row>
    <row r="24" ht="20.05" customHeight="1">
      <c r="A24" s="36" cm="1">
        <f t="array" ref="A24">COUNTA('Main Sheet - Animal Table 3'!C4:G5)</f>
        <v>6</v>
      </c>
      <c r="B24" t="s" s="37">
        <v>202</v>
      </c>
      <c r="C24" t="b" s="36">
        <v>1</v>
      </c>
    </row>
    <row r="25" ht="20.05" customHeight="1">
      <c r="A25" s="36" cm="1">
        <f t="array" ref="A25">COUNTA('Main Sheet - Animal Table 3'!C$6:G7)</f>
        <v>6</v>
      </c>
      <c r="B25" t="s" s="37">
        <v>203</v>
      </c>
      <c r="C25" t="b" s="36">
        <v>1</v>
      </c>
    </row>
    <row r="26" ht="20.05" customHeight="1">
      <c r="A26" s="36" cm="1">
        <f t="array" ref="A26">COUNTA('Main Sheet - Animal Table 3'!C6:G$7)</f>
        <v>6</v>
      </c>
      <c r="B26" t="s" s="37">
        <v>204</v>
      </c>
      <c r="C26" t="b" s="36">
        <v>1</v>
      </c>
    </row>
    <row r="27" ht="20.05" customHeight="1">
      <c r="A27" s="36" cm="1">
        <f t="array" ref="A27">COUNTA('Main Sheet - Animal Table 3'!C$6:G$7)</f>
        <v>6</v>
      </c>
      <c r="B27" t="s" s="37">
        <v>205</v>
      </c>
      <c r="C27" t="b" s="36">
        <v>1</v>
      </c>
    </row>
    <row r="28" ht="20.05" customHeight="1">
      <c r="A28" s="36" cm="1">
        <f t="array" ref="A28">COUNTA('Main Sheet - Food Table'!A3:C3)</f>
        <v>3</v>
      </c>
      <c r="B28" t="s" s="37">
        <v>206</v>
      </c>
      <c r="C28" t="b" s="36">
        <v>1</v>
      </c>
    </row>
    <row r="29" ht="20.05" customHeight="1">
      <c r="A29" s="36" cm="1">
        <f t="array" ref="A29">COUNTA('Main Sheet - Food Table'!A$3:C$3)</f>
        <v>3</v>
      </c>
      <c r="B29" t="s" s="37">
        <v>207</v>
      </c>
      <c r="C29" t="b" s="36">
        <v>1</v>
      </c>
    </row>
    <row r="30" ht="20.05" customHeight="1">
      <c r="A30" s="36" cm="1">
        <f t="array" ref="A30">COUNTA('Main Sheet - Food Table'!A3:A6)</f>
        <v>4</v>
      </c>
      <c r="B30" t="s" s="37">
        <v>194</v>
      </c>
      <c r="C30" t="b" s="36">
        <v>1</v>
      </c>
    </row>
    <row r="31" ht="20.05" customHeight="1">
      <c r="A31" s="36" cm="1">
        <f t="array" ref="A31">COUNTA('Main Sheet - Food Table'!$A3:$A6)</f>
        <v>4</v>
      </c>
      <c r="B31" t="s" s="37">
        <v>195</v>
      </c>
      <c r="C31" t="b" s="36">
        <v>1</v>
      </c>
    </row>
    <row r="32" ht="20.05" customHeight="1">
      <c r="A32" s="36" cm="1">
        <f t="array" ref="A32">COUNTA('Main Sheet - Food Table'!B3:B6)</f>
        <v>4</v>
      </c>
      <c r="B32" t="s" s="37">
        <v>208</v>
      </c>
      <c r="C32" t="b" s="36">
        <v>1</v>
      </c>
    </row>
    <row r="33" ht="20.05" customHeight="1">
      <c r="A33" s="36" cm="1">
        <f t="array" ref="A33">COUNTA('Main Sheet - Food Table'!A3:B6)</f>
        <v>8</v>
      </c>
      <c r="B33" t="s" s="37">
        <v>209</v>
      </c>
      <c r="C33" t="b" s="36">
        <v>1</v>
      </c>
    </row>
    <row r="34" ht="20.05" customHeight="1">
      <c r="A34" s="36" cm="1">
        <f t="array" ref="A34">COUNTA('Main Sheet - Food Table'!B3:C6)</f>
        <v>8</v>
      </c>
      <c r="B34" t="s" s="37">
        <v>210</v>
      </c>
      <c r="C34" t="b" s="36">
        <v>1</v>
      </c>
    </row>
    <row r="35" ht="20.05" customHeight="1">
      <c r="A35" s="36" cm="1">
        <f t="array" ref="A35">COUNTA('Main Sheet - Food Table'!$B3:C6)</f>
        <v>8</v>
      </c>
      <c r="B35" t="s" s="37">
        <v>211</v>
      </c>
      <c r="C35" t="b" s="36">
        <v>1</v>
      </c>
    </row>
    <row r="36" ht="20.05" customHeight="1">
      <c r="A36" s="36" cm="1">
        <f t="array" ref="A36">COUNTA('Main Sheet - Food Table'!B3:$C6)</f>
        <v>8</v>
      </c>
      <c r="B36" t="s" s="37">
        <v>212</v>
      </c>
      <c r="C36" t="b" s="36">
        <v>1</v>
      </c>
    </row>
    <row r="37" ht="20.05" customHeight="1">
      <c r="A37" s="36" cm="1">
        <f t="array" ref="A37">COUNTA('Main Sheet - Food Table'!$B3:$C6)</f>
        <v>8</v>
      </c>
      <c r="B37" t="s" s="37">
        <v>213</v>
      </c>
      <c r="C37" t="b" s="36">
        <v>1</v>
      </c>
    </row>
    <row r="38" ht="20.05" customHeight="1">
      <c r="A38" s="36" cm="1">
        <f t="array" ref="A38">COUNTA('Main Sheet - Animal Table 3'!C3:G3)</f>
        <v>3</v>
      </c>
      <c r="B38" t="s" s="37">
        <v>214</v>
      </c>
      <c r="C38" t="b" s="36">
        <v>1</v>
      </c>
    </row>
    <row r="39" ht="20.05" customHeight="1">
      <c r="A39" s="36" cm="1">
        <f t="array" ref="A39">COUNTA('Main Sheet - Animal Table 2'!B5:F6)</f>
        <v>6</v>
      </c>
      <c r="B39" t="s" s="37">
        <v>215</v>
      </c>
      <c r="C39" t="b" s="36">
        <v>1</v>
      </c>
    </row>
    <row r="40" ht="20.05" customHeight="1">
      <c r="A40" s="36" cm="1">
        <f t="array" ref="A40">COUNTA('Main Sheet - Animal Table 2'!B$5:F6)</f>
        <v>6</v>
      </c>
      <c r="B40" t="s" s="37">
        <v>216</v>
      </c>
      <c r="C40" t="b" s="36">
        <v>1</v>
      </c>
    </row>
    <row r="41" ht="20.05" customHeight="1">
      <c r="A41" s="36" cm="1">
        <f t="array" ref="A41">COUNTA('Main Sheet - Animal Table 2'!B5:F$6)</f>
        <v>6</v>
      </c>
      <c r="B41" t="s" s="37">
        <v>217</v>
      </c>
      <c r="C41" t="b" s="36">
        <v>1</v>
      </c>
    </row>
    <row r="42" ht="20.05" customHeight="1">
      <c r="A42" s="36" cm="1">
        <f t="array" ref="A42">COUNTA('Main Sheet - Animal Table 2'!B$5:F$6)</f>
        <v>6</v>
      </c>
      <c r="B42" t="s" s="37">
        <v>218</v>
      </c>
      <c r="C42" t="b" s="36">
        <v>1</v>
      </c>
    </row>
    <row r="43" ht="20.05" customHeight="1">
      <c r="A43" s="36" cm="1">
        <f t="array" ref="A43">COUNTA('Powers Sheet - Food Table'!A3:B6)</f>
        <v>8</v>
      </c>
      <c r="B43" t="s" s="37">
        <v>219</v>
      </c>
      <c r="C43" t="b" s="36">
        <v>1</v>
      </c>
    </row>
    <row r="44" ht="20.05" customHeight="1">
      <c r="A44" s="36" cm="1">
        <f t="array" ref="A44">COUNTA('Powers Sheet - Food Table'!$A3:B6)</f>
        <v>8</v>
      </c>
      <c r="B44" t="s" s="37">
        <v>220</v>
      </c>
      <c r="C44" t="b" s="36">
        <v>1</v>
      </c>
    </row>
    <row r="45" ht="20.05" customHeight="1">
      <c r="A45" s="36" cm="1">
        <f t="array" ref="A45">COUNTA('Powers Sheet - Food Table'!A3:$B6)</f>
        <v>8</v>
      </c>
      <c r="B45" t="s" s="37">
        <v>221</v>
      </c>
      <c r="C45" t="b" s="36">
        <v>1</v>
      </c>
    </row>
    <row r="46" ht="20.05" customHeight="1">
      <c r="A46" s="36" cm="1">
        <f t="array" ref="A46">COUNTA('Powers Sheet - Food Table'!$A3:$B6)</f>
        <v>8</v>
      </c>
      <c r="B46" t="s" s="37">
        <v>222</v>
      </c>
      <c r="C46" t="b" s="36">
        <v>1</v>
      </c>
    </row>
    <row r="47" ht="20.05" customHeight="1">
      <c r="A47" s="36" cm="1">
        <f t="array" ref="A47">COUNTA('Powers Sheet - Food Table 4'!B3:C6)</f>
        <v>8</v>
      </c>
      <c r="B47" t="s" s="37">
        <v>223</v>
      </c>
      <c r="C47" t="b" s="36">
        <v>1</v>
      </c>
    </row>
    <row r="48" ht="20.05" customHeight="1">
      <c r="A48" s="36" cm="1">
        <f t="array" ref="A48">COUNTA('Powers Sheet - Food Table 4'!B3:$C6)</f>
        <v>8</v>
      </c>
      <c r="B48" t="s" s="37">
        <v>224</v>
      </c>
      <c r="C48" t="b" s="36">
        <v>1</v>
      </c>
    </row>
    <row r="49" ht="20.05" customHeight="1">
      <c r="A49" s="36" cm="1">
        <f t="array" ref="A49">COUNTA('Powers Sheet - Food Table 4'!$B3:C6)</f>
        <v>8</v>
      </c>
      <c r="B49" t="s" s="37">
        <v>225</v>
      </c>
      <c r="C49" t="b" s="36">
        <v>1</v>
      </c>
    </row>
    <row r="50" ht="20.05" customHeight="1">
      <c r="A50" s="36" cm="1">
        <f t="array" ref="A50">COUNTA('Powers Sheet - Food Table 4'!$B3:$C6)</f>
        <v>8</v>
      </c>
      <c r="B50" t="s" s="37">
        <v>226</v>
      </c>
      <c r="C50" t="b" s="36">
        <v>1</v>
      </c>
    </row>
    <row r="51" ht="20.05" customHeight="1">
      <c r="A51" s="36" cm="1">
        <f t="array" ref="A51">COUNTA('Main Sheet - Food Table 2'!D3:D6)</f>
        <v>4</v>
      </c>
      <c r="B51" t="s" s="37">
        <v>227</v>
      </c>
      <c r="C51" t="b" s="36">
        <v>1</v>
      </c>
    </row>
    <row r="52" ht="20.05" customHeight="1">
      <c r="A52" s="36" cm="1">
        <f t="array" ref="A52">COUNTA('Powers Sheet - Countries'!B3:D3)</f>
        <v>3</v>
      </c>
      <c r="B52" t="s" s="37">
        <v>228</v>
      </c>
      <c r="C52" t="b" s="36">
        <v>1</v>
      </c>
    </row>
    <row r="53" ht="20.05" customHeight="1">
      <c r="A53" s="36" cm="1">
        <f t="array" ref="A53">COUNTA('Powers Sheet - Countries'!C3:C5)</f>
        <v>3</v>
      </c>
      <c r="B53" t="s" s="37">
        <v>229</v>
      </c>
      <c r="C53" t="b" s="36">
        <v>1</v>
      </c>
    </row>
    <row r="54" ht="20.05" customHeight="1">
      <c r="A54" s="36" cm="1">
        <f t="array" ref="A54">COUNTA('Powers Sheet - Countries'!B4:D5)</f>
        <v>6</v>
      </c>
      <c r="B54" t="s" s="37">
        <v>230</v>
      </c>
      <c r="C54" t="b" s="36">
        <v>1</v>
      </c>
    </row>
    <row r="55" ht="20.05" customHeight="1">
      <c r="A55" s="36" cm="1">
        <f t="array" ref="A55">COUNTA('Powers Sheet - Countries'!B3:D5)</f>
        <v>9</v>
      </c>
      <c r="B55" t="s" s="37">
        <v>231</v>
      </c>
      <c r="C55" t="b" s="36">
        <v>1</v>
      </c>
    </row>
    <row r="56" ht="20.05" customHeight="1">
      <c r="A56" s="36" cm="1">
        <f t="array" ref="A56">COUNTA('Main Sheet - Extra Headers'!B3:C3)</f>
        <v>2</v>
      </c>
      <c r="B56" t="s" s="37">
        <v>232</v>
      </c>
      <c r="C56" t="b" s="36">
        <v>1</v>
      </c>
    </row>
    <row r="57" ht="20.05" customHeight="1">
      <c r="A57" s="36" cm="1">
        <f t="array" ref="A57">COUNT('Main Sheet - Extra Headers'!B3:C5)</f>
        <v>0</v>
      </c>
      <c r="B57" t="s" s="37">
        <v>233</v>
      </c>
      <c r="C57" t="b" s="36">
        <v>1</v>
      </c>
    </row>
    <row r="58" ht="20.05" customHeight="1">
      <c r="A58" s="36" cm="1">
        <f t="array" ref="A58">COUNTA('Main Sheet - Animal Table'!C2:C6)</f>
        <v>5</v>
      </c>
      <c r="B58" t="s" s="37">
        <v>234</v>
      </c>
      <c r="C58" t="b" s="36">
        <v>1</v>
      </c>
    </row>
    <row r="59" ht="20.05" customHeight="1">
      <c r="A59" s="36" cm="1">
        <f t="array" ref="A59">COUNTA('Main Sheet - Animal Table'!$C2:$C6)</f>
        <v>5</v>
      </c>
      <c r="B59" t="s" s="37">
        <v>235</v>
      </c>
      <c r="C59" t="b" s="36">
        <v>1</v>
      </c>
    </row>
    <row r="60" ht="20.05" customHeight="1">
      <c r="A60" s="36" cm="1">
        <f t="array" ref="A60">COUNTA('Main Sheet - Extra Headers'!B7:C8)</f>
        <v>4</v>
      </c>
      <c r="B60" t="s" s="37">
        <v>236</v>
      </c>
      <c r="C60" t="b" s="36">
        <v>1</v>
      </c>
    </row>
    <row r="61" ht="20.05" customHeight="1">
      <c r="A61" s="36" cm="1">
        <f t="array" ref="A61">COUNTA('Main Sheet - Extra Headers'!B$7:C$8)</f>
        <v>4</v>
      </c>
      <c r="B61" t="s" s="37">
        <v>237</v>
      </c>
      <c r="C61" t="b" s="36">
        <v>1</v>
      </c>
    </row>
  </sheetData>
  <mergeCells count="1">
    <mergeCell ref="A1:C1"/>
  </mergeCell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xl/worksheets/sheet10.xml><?xml version="1.0" encoding="utf-8"?>
<worksheet xmlns:r="http://schemas.openxmlformats.org/officeDocument/2006/relationships" xmlns="http://schemas.openxmlformats.org/spreadsheetml/2006/main">
  <sheetPr>
    <pageSetUpPr fitToPage="1"/>
  </sheetPr>
  <dimension ref="A2:C6"/>
  <sheetViews>
    <sheetView workbookViewId="0" showGridLines="0" defaultGridColor="1"/>
  </sheetViews>
  <sheetFormatPr defaultColWidth="16.3333" defaultRowHeight="19.9" customHeight="1" outlineLevelRow="0" outlineLevelCol="0"/>
  <cols>
    <col min="1" max="3" width="16.3516" style="38" customWidth="1"/>
    <col min="4" max="16384" width="16.3516" style="38" customWidth="1"/>
  </cols>
  <sheetData>
    <row r="1" ht="27.65" customHeight="1">
      <c r="A1" t="s" s="2">
        <v>238</v>
      </c>
      <c r="B1" s="2"/>
      <c r="C1" s="2"/>
    </row>
    <row r="2" ht="20.05" customHeight="1">
      <c r="A2" s="7" cm="1">
        <f t="array" ref="A2">POWER(2,5)</f>
        <v>32</v>
      </c>
      <c r="B2" s="7" cm="1">
        <f t="array" ref="B2">A2*2</f>
        <v>64</v>
      </c>
      <c r="C2" s="7" cm="1">
        <f t="array" ref="C2">B2*2</f>
        <v>128</v>
      </c>
    </row>
    <row r="3" ht="20.05" customHeight="1">
      <c r="A3" s="7" cm="1">
        <f t="array" ref="A3">C2*2</f>
        <v>256</v>
      </c>
      <c r="B3" s="7" cm="1">
        <f t="array" ref="B3">A3*2</f>
        <v>512</v>
      </c>
      <c r="C3" s="7" cm="1">
        <f t="array" ref="C3">B3*2</f>
        <v>1024</v>
      </c>
    </row>
    <row r="4" ht="20.05" customHeight="1">
      <c r="A4" s="7" cm="1">
        <f t="array" ref="A4">C3*2</f>
        <v>2048</v>
      </c>
      <c r="B4" s="7" cm="1">
        <f t="array" ref="B4">A4*2</f>
        <v>4096</v>
      </c>
      <c r="C4" s="7" cm="1">
        <f t="array" ref="C4">B4*2</f>
        <v>8192</v>
      </c>
    </row>
    <row r="5" ht="20.05" customHeight="1">
      <c r="A5" s="7" cm="1">
        <f t="array" ref="A5">C4*2</f>
        <v>16384</v>
      </c>
      <c r="B5" s="7" cm="1">
        <f t="array" ref="B5">A5*2</f>
        <v>32768</v>
      </c>
      <c r="C5" s="7" cm="1">
        <f t="array" ref="C5">B5*2</f>
        <v>65536</v>
      </c>
    </row>
    <row r="6" ht="20.05" customHeight="1">
      <c r="A6" s="7" cm="1">
        <f t="array" ref="A6">C5*2</f>
        <v>131072</v>
      </c>
      <c r="B6" s="7" cm="1">
        <f t="array" ref="B6">A6*2</f>
        <v>262144</v>
      </c>
      <c r="C6" s="7" cm="1">
        <f t="array" ref="C6">B6*2</f>
        <v>524288</v>
      </c>
    </row>
  </sheetData>
  <mergeCells count="1">
    <mergeCell ref="A1:C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D6"/>
  <sheetViews>
    <sheetView workbookViewId="0" showGridLines="0" defaultGridColor="1">
      <pane topLeftCell="A3" xSplit="0" ySplit="2" activePane="bottomLeft" state="frozen"/>
    </sheetView>
  </sheetViews>
  <sheetFormatPr defaultColWidth="16.3333" defaultRowHeight="19.9" customHeight="1" outlineLevelRow="0" outlineLevelCol="0"/>
  <cols>
    <col min="1" max="4" width="16.3516" style="39" customWidth="1"/>
    <col min="5" max="16384" width="16.3516" style="39" customWidth="1"/>
  </cols>
  <sheetData>
    <row r="1" ht="27.65" customHeight="1">
      <c r="A1" t="s" s="2">
        <v>239</v>
      </c>
      <c r="B1" s="2"/>
      <c r="C1" s="2"/>
      <c r="D1" s="2"/>
    </row>
    <row r="2" ht="20.25" customHeight="1">
      <c r="A2" t="s" s="4">
        <v>49</v>
      </c>
      <c r="B2" t="s" s="4">
        <v>50</v>
      </c>
      <c r="C2" t="s" s="4">
        <v>63</v>
      </c>
      <c r="D2" t="s" s="4">
        <v>240</v>
      </c>
    </row>
    <row r="3" ht="20.25" customHeight="1">
      <c r="A3" t="s" s="16">
        <v>65</v>
      </c>
      <c r="B3" t="s" s="16">
        <v>66</v>
      </c>
      <c r="C3" t="s" s="16">
        <v>67</v>
      </c>
      <c r="D3" t="s" s="16">
        <v>129</v>
      </c>
    </row>
    <row r="4" ht="20.05" customHeight="1">
      <c r="A4" t="s" s="10">
        <v>69</v>
      </c>
      <c r="B4" t="s" s="10">
        <v>70</v>
      </c>
      <c r="C4" t="s" s="10">
        <v>71</v>
      </c>
      <c r="D4" t="s" s="10">
        <v>241</v>
      </c>
    </row>
    <row r="5" ht="20.05" customHeight="1">
      <c r="A5" t="s" s="10">
        <v>73</v>
      </c>
      <c r="B5" t="s" s="10">
        <v>74</v>
      </c>
      <c r="C5" t="s" s="10">
        <v>75</v>
      </c>
      <c r="D5" t="s" s="10">
        <v>242</v>
      </c>
    </row>
    <row r="6" ht="20.05" customHeight="1">
      <c r="A6" t="s" s="10">
        <v>6</v>
      </c>
      <c r="B6" t="s" s="10">
        <v>77</v>
      </c>
      <c r="C6" t="s" s="10">
        <v>78</v>
      </c>
      <c r="D6" t="s" s="10">
        <v>243</v>
      </c>
    </row>
  </sheetData>
  <mergeCells count="1">
    <mergeCell ref="A1:D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2.xml><?xml version="1.0" encoding="utf-8"?>
<worksheet xmlns:r="http://schemas.openxmlformats.org/officeDocument/2006/relationships" xmlns="http://schemas.openxmlformats.org/spreadsheetml/2006/main">
  <sheetPr>
    <pageSetUpPr fitToPage="1"/>
  </sheetPr>
  <dimension ref="A2:D6"/>
  <sheetViews>
    <sheetView workbookViewId="0" showGridLines="0" defaultGridColor="1">
      <pane topLeftCell="A3" xSplit="0" ySplit="2" activePane="bottomLeft" state="frozen"/>
    </sheetView>
  </sheetViews>
  <sheetFormatPr defaultColWidth="16.3333" defaultRowHeight="19.9" customHeight="1" outlineLevelRow="0" outlineLevelCol="0"/>
  <cols>
    <col min="1" max="4" width="16.3516" style="40" customWidth="1"/>
    <col min="5" max="16384" width="16.3516" style="40" customWidth="1"/>
  </cols>
  <sheetData>
    <row r="1" ht="27.65" customHeight="1">
      <c r="A1" t="s" s="2">
        <v>48</v>
      </c>
      <c r="B1" s="2"/>
      <c r="C1" s="2"/>
      <c r="D1" s="2"/>
    </row>
    <row r="2" ht="20.25" customHeight="1">
      <c r="A2" t="s" s="4">
        <v>49</v>
      </c>
      <c r="B2" t="s" s="4">
        <v>50</v>
      </c>
      <c r="C2" t="s" s="4">
        <v>63</v>
      </c>
      <c r="D2" t="s" s="4">
        <v>240</v>
      </c>
    </row>
    <row r="3" ht="20.25" customHeight="1">
      <c r="A3" t="s" s="16">
        <v>65</v>
      </c>
      <c r="B3" t="s" s="16">
        <v>66</v>
      </c>
      <c r="C3" t="s" s="16">
        <v>67</v>
      </c>
      <c r="D3" t="s" s="16">
        <v>129</v>
      </c>
    </row>
    <row r="4" ht="20.05" customHeight="1">
      <c r="A4" t="s" s="10">
        <v>69</v>
      </c>
      <c r="B4" t="s" s="10">
        <v>70</v>
      </c>
      <c r="C4" t="s" s="10">
        <v>71</v>
      </c>
      <c r="D4" t="s" s="10">
        <v>241</v>
      </c>
    </row>
    <row r="5" ht="20.05" customHeight="1">
      <c r="A5" t="s" s="10">
        <v>73</v>
      </c>
      <c r="B5" t="s" s="10">
        <v>74</v>
      </c>
      <c r="C5" t="s" s="10">
        <v>75</v>
      </c>
      <c r="D5" t="s" s="10">
        <v>242</v>
      </c>
    </row>
    <row r="6" ht="20.05" customHeight="1">
      <c r="A6" t="s" s="10">
        <v>6</v>
      </c>
      <c r="B6" t="s" s="10">
        <v>77</v>
      </c>
      <c r="C6" t="s" s="10">
        <v>78</v>
      </c>
      <c r="D6" t="s" s="10">
        <v>243</v>
      </c>
    </row>
  </sheetData>
  <mergeCells count="1">
    <mergeCell ref="A1:D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3.xml><?xml version="1.0" encoding="utf-8"?>
<worksheet xmlns:r="http://schemas.openxmlformats.org/officeDocument/2006/relationships" xmlns="http://schemas.openxmlformats.org/spreadsheetml/2006/main">
  <sheetPr>
    <pageSetUpPr fitToPage="1"/>
  </sheetPr>
  <dimension ref="A2:B5"/>
  <sheetViews>
    <sheetView workbookViewId="0" showGridLines="0" defaultGridColor="1">
      <pane topLeftCell="A3" xSplit="0" ySplit="2" activePane="bottomLeft" state="frozen"/>
    </sheetView>
  </sheetViews>
  <sheetFormatPr defaultColWidth="16.3333" defaultRowHeight="19.9" customHeight="1" outlineLevelRow="0" outlineLevelCol="0"/>
  <cols>
    <col min="1" max="2" width="16.3516" style="41" customWidth="1"/>
    <col min="3" max="16384" width="16.3516" style="41" customWidth="1"/>
  </cols>
  <sheetData>
    <row r="1" ht="27.65" customHeight="1">
      <c r="A1" t="s" s="2">
        <v>175</v>
      </c>
      <c r="B1" s="2"/>
    </row>
    <row r="2" ht="20.25" customHeight="1">
      <c r="A2" t="s" s="4">
        <v>176</v>
      </c>
      <c r="B2" t="s" s="4">
        <v>244</v>
      </c>
    </row>
    <row r="3" ht="20.25" customHeight="1">
      <c r="A3" t="s" s="16">
        <v>177</v>
      </c>
      <c r="B3" t="s" s="16">
        <v>245</v>
      </c>
    </row>
    <row r="4" ht="20.05" customHeight="1">
      <c r="A4" t="s" s="10">
        <v>178</v>
      </c>
      <c r="B4" t="s" s="10">
        <v>246</v>
      </c>
    </row>
    <row r="5" ht="20.05" customHeight="1">
      <c r="A5" t="s" s="10">
        <v>179</v>
      </c>
      <c r="B5" t="s" s="10">
        <v>247</v>
      </c>
    </row>
  </sheetData>
  <mergeCells count="1">
    <mergeCell ref="A1:B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4.xml><?xml version="1.0" encoding="utf-8"?>
<worksheet xmlns:r="http://schemas.openxmlformats.org/officeDocument/2006/relationships" xmlns="http://schemas.openxmlformats.org/spreadsheetml/2006/main">
  <sheetPr>
    <pageSetUpPr fitToPage="1"/>
  </sheetPr>
  <dimension ref="A2:D5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4" width="16.3516" style="42" customWidth="1"/>
    <col min="5" max="16384" width="16.3516" style="42" customWidth="1"/>
  </cols>
  <sheetData>
    <row r="1" ht="27.65" customHeight="1">
      <c r="A1" t="s" s="2">
        <v>248</v>
      </c>
      <c r="B1" s="2"/>
      <c r="C1" s="2"/>
      <c r="D1" s="2"/>
    </row>
    <row r="2" ht="20.25" customHeight="1">
      <c r="A2" s="43"/>
      <c r="B2" t="s" s="4">
        <v>249</v>
      </c>
      <c r="C2" t="s" s="4">
        <v>250</v>
      </c>
      <c r="D2" t="s" s="4">
        <v>251</v>
      </c>
    </row>
    <row r="3" ht="20.25" customHeight="1">
      <c r="A3" t="s" s="44">
        <v>252</v>
      </c>
      <c r="B3" t="s" s="28">
        <v>253</v>
      </c>
      <c r="C3" t="s" s="16">
        <v>254</v>
      </c>
      <c r="D3" t="s" s="16">
        <v>255</v>
      </c>
    </row>
    <row r="4" ht="20.05" customHeight="1">
      <c r="A4" t="s" s="19">
        <v>256</v>
      </c>
      <c r="B4" t="s" s="20">
        <v>257</v>
      </c>
      <c r="C4" t="s" s="10">
        <v>258</v>
      </c>
      <c r="D4" t="s" s="10">
        <v>259</v>
      </c>
    </row>
    <row r="5" ht="20.05" customHeight="1">
      <c r="A5" t="s" s="19">
        <v>260</v>
      </c>
      <c r="B5" t="s" s="20">
        <v>261</v>
      </c>
      <c r="C5" t="s" s="10">
        <v>262</v>
      </c>
      <c r="D5" t="s" s="10">
        <v>263</v>
      </c>
    </row>
  </sheetData>
  <mergeCells count="1">
    <mergeCell ref="A1:D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