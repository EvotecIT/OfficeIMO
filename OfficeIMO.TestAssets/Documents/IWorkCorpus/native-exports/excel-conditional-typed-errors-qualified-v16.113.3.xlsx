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conditional-aggregates/native/"/>
    </mc:Choice>
  </mc:AlternateContent>
  <xr:revisionPtr revIDLastSave="0" documentId="8_{0100233D-E0AD-8148-8AEA-C31AD417819F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Conditional typed err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J99" i="1" s="1"/>
  <c r="G98" i="1"/>
  <c r="J98" i="1" s="1"/>
  <c r="G97" i="1"/>
  <c r="H97" i="1" s="1"/>
  <c r="G96" i="1"/>
  <c r="J96" i="1" s="1"/>
  <c r="I95" i="1"/>
  <c r="G95" i="1"/>
  <c r="J95" i="1" s="1"/>
  <c r="I94" i="1"/>
  <c r="G94" i="1"/>
  <c r="J94" i="1" s="1"/>
  <c r="I93" i="1"/>
  <c r="G93" i="1"/>
  <c r="J93" i="1" s="1"/>
  <c r="G92" i="1"/>
  <c r="H92" i="1" s="1"/>
  <c r="G91" i="1"/>
  <c r="J91" i="1" s="1"/>
  <c r="G86" i="1"/>
  <c r="J86" i="1" s="1"/>
  <c r="G81" i="1"/>
  <c r="J81" i="1" s="1"/>
  <c r="G76" i="1"/>
  <c r="J76" i="1" s="1"/>
  <c r="G75" i="1"/>
  <c r="J75" i="1" s="1"/>
  <c r="I74" i="1"/>
  <c r="G74" i="1"/>
  <c r="J74" i="1" s="1"/>
  <c r="I73" i="1"/>
  <c r="G73" i="1"/>
  <c r="J73" i="1" s="1"/>
  <c r="G72" i="1"/>
  <c r="H72" i="1" s="1"/>
  <c r="G71" i="1"/>
  <c r="J71" i="1" s="1"/>
  <c r="G70" i="1"/>
  <c r="J70" i="1" s="1"/>
  <c r="G69" i="1"/>
  <c r="J69" i="1" s="1"/>
  <c r="I68" i="1"/>
  <c r="G68" i="1"/>
  <c r="J68" i="1" s="1"/>
  <c r="G67" i="1"/>
  <c r="H67" i="1" s="1"/>
  <c r="G66" i="1"/>
  <c r="J66" i="1" s="1"/>
  <c r="G65" i="1"/>
  <c r="J65" i="1" s="1"/>
  <c r="G64" i="1"/>
  <c r="J64" i="1" s="1"/>
  <c r="I63" i="1"/>
  <c r="G63" i="1"/>
  <c r="J63" i="1" s="1"/>
  <c r="G62" i="1"/>
  <c r="H62" i="1" s="1"/>
  <c r="G61" i="1"/>
  <c r="J61" i="1" s="1"/>
  <c r="G60" i="1"/>
  <c r="J60" i="1" s="1"/>
  <c r="G59" i="1"/>
  <c r="J59" i="1" s="1"/>
  <c r="I58" i="1"/>
  <c r="G58" i="1"/>
  <c r="J58" i="1" s="1"/>
  <c r="G57" i="1"/>
  <c r="H57" i="1" s="1"/>
  <c r="G56" i="1"/>
  <c r="J56" i="1" s="1"/>
  <c r="G55" i="1"/>
  <c r="J55" i="1" s="1"/>
  <c r="G54" i="1"/>
  <c r="J54" i="1" s="1"/>
  <c r="I53" i="1"/>
  <c r="G53" i="1"/>
  <c r="J53" i="1" s="1"/>
  <c r="G52" i="1"/>
  <c r="H52" i="1" s="1"/>
  <c r="G35" i="1"/>
  <c r="J35" i="1" s="1"/>
  <c r="G34" i="1"/>
  <c r="J34" i="1" s="1"/>
  <c r="I33" i="1"/>
  <c r="G33" i="1"/>
  <c r="J33" i="1" s="1"/>
  <c r="G32" i="1"/>
  <c r="H32" i="1" s="1"/>
  <c r="G31" i="1"/>
  <c r="J31" i="1" s="1"/>
  <c r="G30" i="1"/>
  <c r="J30" i="1" s="1"/>
  <c r="G29" i="1"/>
  <c r="J29" i="1" s="1"/>
  <c r="I28" i="1"/>
  <c r="G28" i="1"/>
  <c r="J28" i="1" s="1"/>
  <c r="G27" i="1"/>
  <c r="H27" i="1" s="1"/>
  <c r="G26" i="1"/>
  <c r="J26" i="1" s="1"/>
  <c r="G25" i="1"/>
  <c r="J25" i="1" s="1"/>
  <c r="G24" i="1"/>
  <c r="J24" i="1" s="1"/>
  <c r="I23" i="1"/>
  <c r="G23" i="1"/>
  <c r="J23" i="1" s="1"/>
  <c r="G22" i="1"/>
  <c r="H22" i="1" s="1"/>
  <c r="G21" i="1"/>
  <c r="J21" i="1" s="1"/>
  <c r="G20" i="1"/>
  <c r="J20" i="1" s="1"/>
  <c r="G19" i="1"/>
  <c r="J19" i="1" s="1"/>
  <c r="I18" i="1"/>
  <c r="G18" i="1"/>
  <c r="J18" i="1" s="1"/>
  <c r="G17" i="1"/>
  <c r="H17" i="1" s="1"/>
  <c r="G16" i="1"/>
  <c r="J16" i="1" s="1"/>
  <c r="G15" i="1"/>
  <c r="J15" i="1" s="1"/>
  <c r="G14" i="1"/>
  <c r="J14" i="1" s="1"/>
  <c r="I13" i="1"/>
  <c r="G13" i="1"/>
  <c r="J13" i="1" s="1"/>
  <c r="G12" i="1"/>
  <c r="H12" i="1" s="1"/>
  <c r="G11" i="1"/>
  <c r="J11" i="1" s="1"/>
  <c r="A11" i="1"/>
  <c r="G10" i="1"/>
  <c r="J10" i="1" s="1"/>
  <c r="A10" i="1"/>
  <c r="G89" i="1" s="1"/>
  <c r="G9" i="1"/>
  <c r="J9" i="1" s="1"/>
  <c r="G8" i="1"/>
  <c r="J8" i="1" s="1"/>
  <c r="G7" i="1"/>
  <c r="H7" i="1" s="1"/>
  <c r="I6" i="1"/>
  <c r="G6" i="1"/>
  <c r="J6" i="1" s="1"/>
  <c r="G5" i="1"/>
  <c r="J5" i="1" s="1"/>
  <c r="A5" i="1"/>
  <c r="G3" i="1"/>
  <c r="J3" i="1" s="1"/>
  <c r="G2" i="1"/>
  <c r="I2" i="1" s="1"/>
  <c r="D2" i="1"/>
  <c r="G49" i="1" s="1"/>
  <c r="B2" i="1"/>
  <c r="G4" i="1" s="1"/>
  <c r="J89" i="1" l="1"/>
  <c r="H89" i="1"/>
  <c r="I89" i="1"/>
  <c r="J49" i="1"/>
  <c r="H49" i="1"/>
  <c r="I49" i="1"/>
  <c r="J4" i="1"/>
  <c r="I4" i="1"/>
  <c r="H4" i="1"/>
  <c r="G36" i="1"/>
  <c r="I31" i="1"/>
  <c r="I29" i="1"/>
  <c r="I5" i="1"/>
  <c r="H10" i="1"/>
  <c r="I12" i="1"/>
  <c r="I17" i="1"/>
  <c r="I22" i="1"/>
  <c r="I27" i="1"/>
  <c r="I32" i="1"/>
  <c r="G40" i="1"/>
  <c r="I52" i="1"/>
  <c r="I72" i="1"/>
  <c r="I97" i="1"/>
  <c r="G46" i="1"/>
  <c r="G51" i="1"/>
  <c r="H2" i="1"/>
  <c r="I11" i="1"/>
  <c r="G39" i="1"/>
  <c r="J2" i="1"/>
  <c r="I19" i="1"/>
  <c r="I24" i="1"/>
  <c r="I34" i="1"/>
  <c r="I54" i="1"/>
  <c r="I64" i="1"/>
  <c r="I69" i="1"/>
  <c r="G77" i="1"/>
  <c r="H5" i="1"/>
  <c r="H3" i="1"/>
  <c r="G45" i="1"/>
  <c r="G50" i="1"/>
  <c r="I57" i="1"/>
  <c r="I62" i="1"/>
  <c r="I67" i="1"/>
  <c r="G80" i="1"/>
  <c r="G85" i="1"/>
  <c r="G90" i="1"/>
  <c r="I92" i="1"/>
  <c r="I3" i="1"/>
  <c r="H8" i="1"/>
  <c r="I10" i="1"/>
  <c r="J12" i="1"/>
  <c r="H15" i="1"/>
  <c r="J17" i="1"/>
  <c r="H20" i="1"/>
  <c r="J22" i="1"/>
  <c r="H25" i="1"/>
  <c r="J27" i="1"/>
  <c r="H30" i="1"/>
  <c r="J32" i="1"/>
  <c r="H35" i="1"/>
  <c r="J52" i="1"/>
  <c r="H55" i="1"/>
  <c r="J57" i="1"/>
  <c r="H60" i="1"/>
  <c r="J62" i="1"/>
  <c r="H65" i="1"/>
  <c r="J67" i="1"/>
  <c r="H70" i="1"/>
  <c r="J72" i="1"/>
  <c r="H75" i="1"/>
  <c r="J92" i="1"/>
  <c r="H95" i="1"/>
  <c r="J97" i="1"/>
  <c r="G41" i="1"/>
  <c r="I21" i="1"/>
  <c r="I26" i="1"/>
  <c r="G44" i="1"/>
  <c r="I7" i="1"/>
  <c r="I14" i="1"/>
  <c r="G37" i="1"/>
  <c r="G42" i="1"/>
  <c r="G47" i="1"/>
  <c r="I59" i="1"/>
  <c r="G82" i="1"/>
  <c r="G87" i="1"/>
  <c r="J7" i="1"/>
  <c r="I8" i="1"/>
  <c r="I15" i="1"/>
  <c r="I20" i="1"/>
  <c r="I25" i="1"/>
  <c r="I30" i="1"/>
  <c r="I35" i="1"/>
  <c r="G38" i="1"/>
  <c r="G43" i="1"/>
  <c r="G48" i="1"/>
  <c r="I55" i="1"/>
  <c r="I60" i="1"/>
  <c r="I65" i="1"/>
  <c r="I70" i="1"/>
  <c r="I75" i="1"/>
  <c r="G78" i="1"/>
  <c r="G83" i="1"/>
  <c r="G88" i="1"/>
  <c r="H6" i="1"/>
  <c r="H13" i="1"/>
  <c r="H18" i="1"/>
  <c r="H23" i="1"/>
  <c r="H28" i="1"/>
  <c r="H33" i="1"/>
  <c r="H53" i="1"/>
  <c r="H58" i="1"/>
  <c r="H63" i="1"/>
  <c r="H68" i="1"/>
  <c r="H73" i="1"/>
  <c r="H93" i="1"/>
  <c r="H98" i="1"/>
  <c r="I98" i="1"/>
  <c r="H9" i="1"/>
  <c r="H11" i="1"/>
  <c r="H16" i="1"/>
  <c r="H21" i="1"/>
  <c r="H26" i="1"/>
  <c r="H31" i="1"/>
  <c r="H56" i="1"/>
  <c r="H61" i="1"/>
  <c r="H66" i="1"/>
  <c r="H71" i="1"/>
  <c r="H76" i="1"/>
  <c r="H81" i="1"/>
  <c r="H86" i="1"/>
  <c r="H91" i="1"/>
  <c r="H96" i="1"/>
  <c r="I61" i="1"/>
  <c r="I66" i="1"/>
  <c r="I9" i="1"/>
  <c r="I16" i="1"/>
  <c r="I56" i="1"/>
  <c r="I71" i="1"/>
  <c r="I76" i="1"/>
  <c r="G79" i="1"/>
  <c r="I81" i="1"/>
  <c r="G84" i="1"/>
  <c r="I86" i="1"/>
  <c r="I91" i="1"/>
  <c r="I96" i="1"/>
  <c r="H14" i="1"/>
  <c r="H19" i="1"/>
  <c r="H24" i="1"/>
  <c r="H29" i="1"/>
  <c r="H34" i="1"/>
  <c r="H54" i="1"/>
  <c r="H59" i="1"/>
  <c r="H64" i="1"/>
  <c r="H69" i="1"/>
  <c r="H74" i="1"/>
  <c r="H94" i="1"/>
  <c r="H99" i="1"/>
  <c r="I99" i="1"/>
  <c r="J88" i="1" l="1"/>
  <c r="H88" i="1"/>
  <c r="I88" i="1"/>
  <c r="J78" i="1"/>
  <c r="H78" i="1"/>
  <c r="I78" i="1"/>
  <c r="J36" i="1"/>
  <c r="I36" i="1"/>
  <c r="H36" i="1"/>
  <c r="J44" i="1"/>
  <c r="H44" i="1"/>
  <c r="I44" i="1"/>
  <c r="J38" i="1"/>
  <c r="H38" i="1"/>
  <c r="I38" i="1"/>
  <c r="I83" i="1"/>
  <c r="J83" i="1"/>
  <c r="H83" i="1"/>
  <c r="J79" i="1"/>
  <c r="H79" i="1"/>
  <c r="I79" i="1"/>
  <c r="H37" i="1"/>
  <c r="J37" i="1"/>
  <c r="I37" i="1"/>
  <c r="J50" i="1"/>
  <c r="I50" i="1"/>
  <c r="H50" i="1"/>
  <c r="J39" i="1"/>
  <c r="H39" i="1"/>
  <c r="I39" i="1"/>
  <c r="H77" i="1"/>
  <c r="J77" i="1"/>
  <c r="I77" i="1"/>
  <c r="H87" i="1"/>
  <c r="J87" i="1"/>
  <c r="I87" i="1"/>
  <c r="J85" i="1"/>
  <c r="I85" i="1"/>
  <c r="H85" i="1"/>
  <c r="J51" i="1"/>
  <c r="I51" i="1"/>
  <c r="H51" i="1"/>
  <c r="J84" i="1"/>
  <c r="H84" i="1"/>
  <c r="I84" i="1"/>
  <c r="J40" i="1"/>
  <c r="I40" i="1"/>
  <c r="H40" i="1"/>
  <c r="J45" i="1"/>
  <c r="I45" i="1"/>
  <c r="H45" i="1"/>
  <c r="J90" i="1"/>
  <c r="I90" i="1"/>
  <c r="H90" i="1"/>
  <c r="J48" i="1"/>
  <c r="H48" i="1"/>
  <c r="I48" i="1"/>
  <c r="J43" i="1"/>
  <c r="H43" i="1"/>
  <c r="I43" i="1"/>
  <c r="H82" i="1"/>
  <c r="J82" i="1"/>
  <c r="I82" i="1"/>
  <c r="J41" i="1"/>
  <c r="H41" i="1"/>
  <c r="I41" i="1"/>
  <c r="J80" i="1"/>
  <c r="I80" i="1"/>
  <c r="H80" i="1"/>
  <c r="J46" i="1"/>
  <c r="I46" i="1"/>
  <c r="H46" i="1"/>
  <c r="H47" i="1"/>
  <c r="J47" i="1"/>
  <c r="I47" i="1"/>
  <c r="H42" i="1"/>
  <c r="J42" i="1"/>
  <c r="I42" i="1"/>
</calcChain>
</file>

<file path=xl/sharedStrings.xml><?xml version="1.0" encoding="utf-8"?>
<sst xmlns="http://schemas.openxmlformats.org/spreadsheetml/2006/main" count="111" uniqueCount="108">
  <si>
    <t>Region</t>
  </si>
  <si>
    <t>Value</t>
  </si>
  <si>
    <t>EU</t>
  </si>
  <si>
    <t>US</t>
  </si>
  <si>
    <t>#N/A</t>
  </si>
  <si>
    <t>Case</t>
  </si>
  <si>
    <t>Direct</t>
  </si>
  <si>
    <t>IFERROR</t>
  </si>
  <si>
    <t>IFNA</t>
  </si>
  <si>
    <t>ISERROR</t>
  </si>
  <si>
    <t>Matched error: SUMIF</t>
  </si>
  <si>
    <t>Matched error: SUMIFS</t>
  </si>
  <si>
    <t>Matched error: AVERAGEIF</t>
  </si>
  <si>
    <t>Matched error: AVERAGEIFS</t>
  </si>
  <si>
    <t>Matched error: MINIFS</t>
  </si>
  <si>
    <t>Matched error: MAXIFS</t>
  </si>
  <si>
    <t>Matched mixed: SUMIF</t>
  </si>
  <si>
    <t>Matched mixed: SUMIFS</t>
  </si>
  <si>
    <t>Matched mixed: AVERAGEIF</t>
  </si>
  <si>
    <t>Matched mixed: AVERAGEIFS</t>
  </si>
  <si>
    <t>Matched mixed: MINIFS</t>
  </si>
  <si>
    <t>Matched mixed: MAXIFS</t>
  </si>
  <si>
    <t>Unmatched error: SUMIF</t>
  </si>
  <si>
    <t>Unmatched error: SUMIFS</t>
  </si>
  <si>
    <t>Unmatched error: AVERAGEIF</t>
  </si>
  <si>
    <t>Unmatched error: AVERAGEIFS</t>
  </si>
  <si>
    <t>Unmatched error: MINIFS</t>
  </si>
  <si>
    <t>Unmatched error: MAXIFS</t>
  </si>
  <si>
    <t>Typed scalar no match: SUMIF</t>
  </si>
  <si>
    <t>Typed scalar no match: SUMIFS</t>
  </si>
  <si>
    <t>Typed scalar no match: AVERAGEIF</t>
  </si>
  <si>
    <t>Typed scalar no match: AVERAGEIFS</t>
  </si>
  <si>
    <t>Typed scalar no match: MINIFS</t>
  </si>
  <si>
    <t>Typed scalar no match: MAXIFS</t>
  </si>
  <si>
    <t>Typed scalar no match: COUNTIF</t>
  </si>
  <si>
    <t>Typed scalar no match: COUNTIFS</t>
  </si>
  <si>
    <t>Typed scalar error match: SUMIF</t>
  </si>
  <si>
    <t>Typed scalar error match: SUMIFS</t>
  </si>
  <si>
    <t>Typed scalar error match: AVERAGEIF</t>
  </si>
  <si>
    <t>Typed scalar error match: AVERAGEIFS</t>
  </si>
  <si>
    <t>Typed scalar error match: MINIFS</t>
  </si>
  <si>
    <t>Typed scalar error match: MAXIFS</t>
  </si>
  <si>
    <t>Typed scalar error match: COUNTIF</t>
  </si>
  <si>
    <t>Typed scalar error match: COUNTIFS</t>
  </si>
  <si>
    <t>Typed cell no match: SUMIF</t>
  </si>
  <si>
    <t>Typed cell no match: SUMIFS</t>
  </si>
  <si>
    <t>Typed cell no match: AVERAGEIF</t>
  </si>
  <si>
    <t>Typed cell no match: AVERAGEIFS</t>
  </si>
  <si>
    <t>Typed cell no match: MINIFS</t>
  </si>
  <si>
    <t>Typed cell no match: MAXIFS</t>
  </si>
  <si>
    <t>Typed cell no match: COUNTIF</t>
  </si>
  <si>
    <t>Typed cell no match: COUNTIFS</t>
  </si>
  <si>
    <t>Typed cell text match: SUMIF</t>
  </si>
  <si>
    <t>Typed cell text match: SUMIFS</t>
  </si>
  <si>
    <t>Typed cell text match: AVERAGEIF</t>
  </si>
  <si>
    <t>Typed cell text match: AVERAGEIFS</t>
  </si>
  <si>
    <t>Typed cell text match: MINIFS</t>
  </si>
  <si>
    <t>Typed cell text match: MAXIFS</t>
  </si>
  <si>
    <t>Typed cell text match: COUNTIF</t>
  </si>
  <si>
    <t>Typed cell text match: COUNTIFS</t>
  </si>
  <si>
    <t>Text error criterion: SUMIF</t>
  </si>
  <si>
    <t>Text error criterion: SUMIFS</t>
  </si>
  <si>
    <t>Text error criterion: AVERAGEIF</t>
  </si>
  <si>
    <t>Text error criterion: AVERAGEIFS</t>
  </si>
  <si>
    <t>Text error criterion: MINIFS</t>
  </si>
  <si>
    <t>Text error criterion: MAXIFS</t>
  </si>
  <si>
    <t>Text error criterion: COUNTIF</t>
  </si>
  <si>
    <t>Text error criterion: COUNTIFS</t>
  </si>
  <si>
    <t>Error criteria row skipped: SUMIF</t>
  </si>
  <si>
    <t>Error criteria row skipped: SUMIFS</t>
  </si>
  <si>
    <t>Error criteria row skipped: AVERAGEIF</t>
  </si>
  <si>
    <t>Error criteria row skipped: AVERAGEIFS</t>
  </si>
  <si>
    <t>Error criteria row skipped: MINIFS</t>
  </si>
  <si>
    <t>Error criteria row skipped: MAXIFS</t>
  </si>
  <si>
    <t>Error criteria row skipped: COUNTIF</t>
  </si>
  <si>
    <t>Error criteria row skipped: COUNTIFS</t>
  </si>
  <si>
    <t>Error criteria row matched: SUMIF</t>
  </si>
  <si>
    <t>Error criteria row matched: SUMIFS</t>
  </si>
  <si>
    <t>Error criteria row matched: AVERAGEIF</t>
  </si>
  <si>
    <t>Error criteria row matched: AVERAGEIFS</t>
  </si>
  <si>
    <t>Error criteria row matched: MINIFS</t>
  </si>
  <si>
    <t>Error criteria row matched: MAXIFS</t>
  </si>
  <si>
    <t>Error criteria row matched: COUNTIF</t>
  </si>
  <si>
    <t>Error criteria row matched: COUNTIFS</t>
  </si>
  <si>
    <t>Typed NA among errors: SUMIF</t>
  </si>
  <si>
    <t>Typed NA among errors: SUMIFS</t>
  </si>
  <si>
    <t>Typed NA among errors: AVERAGEIF</t>
  </si>
  <si>
    <t>Typed NA among errors: AVERAGEIFS</t>
  </si>
  <si>
    <t>Typed NA among errors: MINIFS</t>
  </si>
  <si>
    <t>Typed NA among errors: MAXIFS</t>
  </si>
  <si>
    <t>Typed NA among errors: COUNTIF</t>
  </si>
  <si>
    <t>Typed NA among errors: COUNTIFS</t>
  </si>
  <si>
    <t>Typed DIV among errors: SUMIF</t>
  </si>
  <si>
    <t>Typed DIV among errors: SUMIFS</t>
  </si>
  <si>
    <t>Typed DIV among errors: AVERAGEIF</t>
  </si>
  <si>
    <t>Typed DIV among errors: AVERAGEIFS</t>
  </si>
  <si>
    <t>Typed DIV among errors: MINIFS</t>
  </si>
  <si>
    <t>Typed DIV among errors: MAXIFS</t>
  </si>
  <si>
    <t>Typed DIV among errors: COUNTIF</t>
  </si>
  <si>
    <t>Typed DIV among errors: COUNTIFS</t>
  </si>
  <si>
    <t>Error operator SUMIF: &lt;&gt;EU</t>
  </si>
  <si>
    <t>Error operator COUNTIF: &lt;&gt;EU</t>
  </si>
  <si>
    <t>Error operator SUMIF: &lt;&gt;</t>
  </si>
  <si>
    <t>Error operator COUNTIF: &lt;&gt;</t>
  </si>
  <si>
    <t>Error operator SUMIF: *</t>
  </si>
  <si>
    <t>Error operator COUNTIF: *</t>
  </si>
  <si>
    <t>Error operator SUMIF: &gt;=EU</t>
  </si>
  <si>
    <t>Error operator COUNTIF: &gt;=EU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</si>
</sst>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55" workbookViewId="0">
      <selection activeCell="G99" sqref="G99"/>
    </sheetView>
  </sheetViews>
  <sheetFormatPr baseColWidth="10" defaultRowHeight="16" x14ac:dyDescent="0.2"/>
  <cols>
    <col min="1" max="2" width="10" customWidth="1"/>
    <col min="3" max="3" width="3" customWidth="1"/>
    <col min="4" max="4" width="10" customWidth="1"/>
    <col min="5" max="5" width="3" customWidth="1"/>
    <col min="6" max="6" width="42" customWidth="1"/>
    <col min="7" max="7" width="16" customWidth="1"/>
    <col min="8" max="10" width="12" customWidth="1"/>
  </cols>
  <sheetData>
    <row r="1" spans="1:10" ht="15" x14ac:dyDescent="0.2">
      <c r="A1" t="s">
        <v>0</v>
      </c>
      <c r="B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">
      <c r="A2" t="s">
        <v>2</v>
      </c>
      <c r="B2" t="e">
        <f>NA()</f>
        <v>#N/A</v>
      </c>
      <c r="D2" t="e">
        <f>NA()</f>
        <v>#N/A</v>
      </c>
      <c r="F2" t="s">
        <v>10</v>
      </c>
      <c r="G2" t="e">
        <f>SUMIF(A2,"EU",B2)</f>
        <v>#N/A</v>
      </c>
      <c r="H2">
        <f t="shared" ref="H2:H33" si="0">IFERROR(G2,99)</f>
        <v>99</v>
      </c>
      <c r="I2">
        <f t="shared" ref="I2:I33" si="1">_xlfn.IFNA(G2,99)</f>
        <v>99</v>
      </c>
      <c r="J2" t="b">
        <f t="shared" ref="J2:J33" si="2">ISERROR(G2)</f>
        <v>1</v>
      </c>
    </row>
    <row r="3" spans="1:10" ht="15" x14ac:dyDescent="0.2">
      <c r="A3" t="s">
        <v>2</v>
      </c>
      <c r="B3">
        <v>10</v>
      </c>
      <c r="F3" t="s">
        <v>11</v>
      </c>
      <c r="G3" t="e">
        <f>SUMIFS(B2,A2,"EU")</f>
        <v>#N/A</v>
      </c>
      <c r="H3">
        <f t="shared" si="0"/>
        <v>99</v>
      </c>
      <c r="I3">
        <f t="shared" si="1"/>
        <v>99</v>
      </c>
      <c r="J3" t="b">
        <f t="shared" si="2"/>
        <v>1</v>
      </c>
    </row>
    <row r="4" spans="1:10" ht="15" x14ac:dyDescent="0.2">
      <c r="A4" t="s">
        <v>3</v>
      </c>
      <c r="B4">
        <v>20</v>
      </c>
      <c r="F4" t="s">
        <v>12</v>
      </c>
      <c r="G4" t="e">
        <f>AVERAGEIF(A2,"EU",B2)</f>
        <v>#N/A</v>
      </c>
      <c r="H4">
        <f t="shared" si="0"/>
        <v>99</v>
      </c>
      <c r="I4">
        <f t="shared" si="1"/>
        <v>99</v>
      </c>
      <c r="J4" t="b">
        <f t="shared" si="2"/>
        <v>1</v>
      </c>
    </row>
    <row r="5" spans="1:10" ht="15" x14ac:dyDescent="0.2">
      <c r="A5" t="e">
        <f>NA()</f>
        <v>#N/A</v>
      </c>
      <c r="B5">
        <v>30</v>
      </c>
      <c r="F5" t="s">
        <v>13</v>
      </c>
      <c r="G5" t="e">
        <f>AVERAGEIFS(B2,A2,"EU")</f>
        <v>#N/A</v>
      </c>
      <c r="H5">
        <f t="shared" si="0"/>
        <v>99</v>
      </c>
      <c r="I5">
        <f t="shared" si="1"/>
        <v>99</v>
      </c>
      <c r="J5" t="b">
        <f t="shared" si="2"/>
        <v>1</v>
      </c>
    </row>
    <row r="6" spans="1:10" ht="15" x14ac:dyDescent="0.2">
      <c r="A6" t="s">
        <v>2</v>
      </c>
      <c r="B6">
        <v>20</v>
      </c>
      <c r="F6" t="s">
        <v>14</v>
      </c>
      <c r="G6" t="e">
        <f>_xlfn.MINIFS(B2,A2,"EU")</f>
        <v>#N/A</v>
      </c>
      <c r="H6">
        <f t="shared" si="0"/>
        <v>99</v>
      </c>
      <c r="I6">
        <f t="shared" si="1"/>
        <v>99</v>
      </c>
      <c r="J6" t="b">
        <f t="shared" si="2"/>
        <v>1</v>
      </c>
    </row>
    <row r="7" spans="1:10" ht="15" x14ac:dyDescent="0.2">
      <c r="F7" t="s">
        <v>15</v>
      </c>
      <c r="G7" t="e">
        <f>_xlfn.MAXIFS(B2,A2,"EU")</f>
        <v>#N/A</v>
      </c>
      <c r="H7">
        <f t="shared" si="0"/>
        <v>99</v>
      </c>
      <c r="I7">
        <f t="shared" si="1"/>
        <v>99</v>
      </c>
      <c r="J7" t="b">
        <f t="shared" si="2"/>
        <v>1</v>
      </c>
    </row>
    <row r="8" spans="1:10" ht="15" x14ac:dyDescent="0.2">
      <c r="A8" t="s">
        <v>4</v>
      </c>
      <c r="B8">
        <v>10</v>
      </c>
      <c r="F8" t="s">
        <v>16</v>
      </c>
      <c r="G8" t="e">
        <f>SUMIF(A2:A4,"EU",B2:B4)</f>
        <v>#N/A</v>
      </c>
      <c r="H8">
        <f t="shared" si="0"/>
        <v>99</v>
      </c>
      <c r="I8">
        <f t="shared" si="1"/>
        <v>99</v>
      </c>
      <c r="J8" t="b">
        <f t="shared" si="2"/>
        <v>1</v>
      </c>
    </row>
    <row r="9" spans="1:10" ht="15" x14ac:dyDescent="0.2">
      <c r="A9" t="s">
        <v>2</v>
      </c>
      <c r="B9">
        <v>20</v>
      </c>
      <c r="F9" t="s">
        <v>17</v>
      </c>
      <c r="G9" t="e">
        <f>SUMIFS(B2:B4,A2:A4,"EU")</f>
        <v>#N/A</v>
      </c>
      <c r="H9">
        <f t="shared" si="0"/>
        <v>99</v>
      </c>
      <c r="I9">
        <f t="shared" si="1"/>
        <v>99</v>
      </c>
      <c r="J9" t="b">
        <f t="shared" si="2"/>
        <v>1</v>
      </c>
    </row>
    <row r="10" spans="1:10" ht="15" x14ac:dyDescent="0.2">
      <c r="A10" t="e">
        <f>NA()</f>
        <v>#N/A</v>
      </c>
      <c r="B10">
        <v>30</v>
      </c>
      <c r="F10" t="s">
        <v>18</v>
      </c>
      <c r="G10" t="e">
        <f>AVERAGEIF(A2:A4,"EU",B2:B4)</f>
        <v>#N/A</v>
      </c>
      <c r="H10">
        <f t="shared" si="0"/>
        <v>99</v>
      </c>
      <c r="I10">
        <f t="shared" si="1"/>
        <v>99</v>
      </c>
      <c r="J10" t="b">
        <f t="shared" si="2"/>
        <v>1</v>
      </c>
    </row>
    <row r="11" spans="1:10" ht="15" x14ac:dyDescent="0.2">
      <c r="A11" t="e">
        <f>1/0</f>
        <v>#DIV/0!</v>
      </c>
      <c r="B11">
        <v>50</v>
      </c>
      <c r="F11" t="s">
        <v>19</v>
      </c>
      <c r="G11" t="e">
        <f>AVERAGEIFS(B2:B4,A2:A4,"EU")</f>
        <v>#N/A</v>
      </c>
      <c r="H11">
        <f t="shared" si="0"/>
        <v>99</v>
      </c>
      <c r="I11">
        <f t="shared" si="1"/>
        <v>99</v>
      </c>
      <c r="J11" t="b">
        <f t="shared" si="2"/>
        <v>1</v>
      </c>
    </row>
    <row r="12" spans="1:10" ht="15" x14ac:dyDescent="0.2">
      <c r="F12" t="s">
        <v>20</v>
      </c>
      <c r="G12" t="e">
        <f>_xlfn.MINIFS(B2:B4,A2:A4,"EU")</f>
        <v>#N/A</v>
      </c>
      <c r="H12">
        <f t="shared" si="0"/>
        <v>99</v>
      </c>
      <c r="I12">
        <f t="shared" si="1"/>
        <v>99</v>
      </c>
      <c r="J12" t="b">
        <f t="shared" si="2"/>
        <v>1</v>
      </c>
    </row>
    <row r="13" spans="1:10" ht="15" x14ac:dyDescent="0.2">
      <c r="F13" t="s">
        <v>21</v>
      </c>
      <c r="G13" t="e">
        <f>_xlfn.MAXIFS(B2:B4,A2:A4,"EU")</f>
        <v>#N/A</v>
      </c>
      <c r="H13">
        <f t="shared" si="0"/>
        <v>99</v>
      </c>
      <c r="I13">
        <f t="shared" si="1"/>
        <v>99</v>
      </c>
      <c r="J13" t="b">
        <f t="shared" si="2"/>
        <v>1</v>
      </c>
    </row>
    <row r="14" spans="1:10" ht="15" x14ac:dyDescent="0.2">
      <c r="F14" t="s">
        <v>22</v>
      </c>
      <c r="G14">
        <f>SUMIF(A2:A4,"US",B2:B4)</f>
        <v>20</v>
      </c>
      <c r="H14">
        <f t="shared" si="0"/>
        <v>20</v>
      </c>
      <c r="I14">
        <f t="shared" si="1"/>
        <v>20</v>
      </c>
      <c r="J14" t="b">
        <f t="shared" si="2"/>
        <v>0</v>
      </c>
    </row>
    <row r="15" spans="1:10" ht="15" x14ac:dyDescent="0.2">
      <c r="F15" t="s">
        <v>23</v>
      </c>
      <c r="G15">
        <f>SUMIFS(B2:B4,A2:A4,"US")</f>
        <v>20</v>
      </c>
      <c r="H15">
        <f t="shared" si="0"/>
        <v>20</v>
      </c>
      <c r="I15">
        <f t="shared" si="1"/>
        <v>20</v>
      </c>
      <c r="J15" t="b">
        <f t="shared" si="2"/>
        <v>0</v>
      </c>
    </row>
    <row r="16" spans="1:10" ht="15" x14ac:dyDescent="0.2">
      <c r="F16" t="s">
        <v>24</v>
      </c>
      <c r="G16">
        <f>AVERAGEIF(A2:A4,"US",B2:B4)</f>
        <v>20</v>
      </c>
      <c r="H16">
        <f t="shared" si="0"/>
        <v>20</v>
      </c>
      <c r="I16">
        <f t="shared" si="1"/>
        <v>20</v>
      </c>
      <c r="J16" t="b">
        <f t="shared" si="2"/>
        <v>0</v>
      </c>
    </row>
    <row r="17" spans="6:10" ht="15" x14ac:dyDescent="0.2">
      <c r="F17" t="s">
        <v>25</v>
      </c>
      <c r="G17">
        <f>AVERAGEIFS(B2:B4,A2:A4,"US")</f>
        <v>20</v>
      </c>
      <c r="H17">
        <f t="shared" si="0"/>
        <v>20</v>
      </c>
      <c r="I17">
        <f t="shared" si="1"/>
        <v>20</v>
      </c>
      <c r="J17" t="b">
        <f t="shared" si="2"/>
        <v>0</v>
      </c>
    </row>
    <row r="18" spans="6:10" ht="15" x14ac:dyDescent="0.2">
      <c r="F18" t="s">
        <v>26</v>
      </c>
      <c r="G18">
        <f>_xlfn.MINIFS(B2:B4,A2:A4,"US")</f>
        <v>20</v>
      </c>
      <c r="H18">
        <f t="shared" si="0"/>
        <v>20</v>
      </c>
      <c r="I18">
        <f t="shared" si="1"/>
        <v>20</v>
      </c>
      <c r="J18" t="b">
        <f t="shared" si="2"/>
        <v>0</v>
      </c>
    </row>
    <row r="19" spans="6:10" ht="15" x14ac:dyDescent="0.2">
      <c r="F19" t="s">
        <v>27</v>
      </c>
      <c r="G19">
        <f>_xlfn.MAXIFS(B2:B4,A2:A4,"US")</f>
        <v>20</v>
      </c>
      <c r="H19">
        <f t="shared" si="0"/>
        <v>20</v>
      </c>
      <c r="I19">
        <f t="shared" si="1"/>
        <v>20</v>
      </c>
      <c r="J19" t="b">
        <f t="shared" si="2"/>
        <v>0</v>
      </c>
    </row>
    <row r="20" spans="6:10" ht="15" x14ac:dyDescent="0.2">
      <c r="F20" t="s">
        <v>28</v>
      </c>
      <c r="G20">
        <f>SUMIF(A2:A4,NA(),B2:B4)</f>
        <v>0</v>
      </c>
      <c r="H20">
        <f t="shared" si="0"/>
        <v>0</v>
      </c>
      <c r="I20">
        <f t="shared" si="1"/>
        <v>0</v>
      </c>
      <c r="J20" t="b">
        <f t="shared" si="2"/>
        <v>0</v>
      </c>
    </row>
    <row r="21" spans="6:10" ht="15" x14ac:dyDescent="0.2">
      <c r="F21" t="s">
        <v>29</v>
      </c>
      <c r="G21">
        <f>SUMIFS(B2:B4,A2:A4,NA())</f>
        <v>0</v>
      </c>
      <c r="H21">
        <f t="shared" si="0"/>
        <v>0</v>
      </c>
      <c r="I21">
        <f t="shared" si="1"/>
        <v>0</v>
      </c>
      <c r="J21" t="b">
        <f t="shared" si="2"/>
        <v>0</v>
      </c>
    </row>
    <row r="22" spans="6:10" ht="15" x14ac:dyDescent="0.2">
      <c r="F22" t="s">
        <v>30</v>
      </c>
      <c r="G22" t="e">
        <f>AVERAGEIF(A2:A4,NA(),B2:B4)</f>
        <v>#DIV/0!</v>
      </c>
      <c r="H22">
        <f t="shared" si="0"/>
        <v>99</v>
      </c>
      <c r="I22" t="e">
        <f t="shared" si="1"/>
        <v>#DIV/0!</v>
      </c>
      <c r="J22" t="b">
        <f t="shared" si="2"/>
        <v>1</v>
      </c>
    </row>
    <row r="23" spans="6:10" ht="15" x14ac:dyDescent="0.2">
      <c r="F23" t="s">
        <v>31</v>
      </c>
      <c r="G23" t="e">
        <f>AVERAGEIFS(B2:B4,A2:A4,NA())</f>
        <v>#DIV/0!</v>
      </c>
      <c r="H23">
        <f t="shared" si="0"/>
        <v>99</v>
      </c>
      <c r="I23" t="e">
        <f t="shared" si="1"/>
        <v>#DIV/0!</v>
      </c>
      <c r="J23" t="b">
        <f t="shared" si="2"/>
        <v>1</v>
      </c>
    </row>
    <row r="24" spans="6:10" ht="15" x14ac:dyDescent="0.2">
      <c r="F24" t="s">
        <v>32</v>
      </c>
      <c r="G24">
        <f>_xlfn.MINIFS(B2:B4,A2:A4,NA())</f>
        <v>0</v>
      </c>
      <c r="H24">
        <f t="shared" si="0"/>
        <v>0</v>
      </c>
      <c r="I24">
        <f t="shared" si="1"/>
        <v>0</v>
      </c>
      <c r="J24" t="b">
        <f t="shared" si="2"/>
        <v>0</v>
      </c>
    </row>
    <row r="25" spans="6:10" ht="15" x14ac:dyDescent="0.2">
      <c r="F25" t="s">
        <v>33</v>
      </c>
      <c r="G25">
        <f>_xlfn.MAXIFS(B2:B4,A2:A4,NA())</f>
        <v>0</v>
      </c>
      <c r="H25">
        <f t="shared" si="0"/>
        <v>0</v>
      </c>
      <c r="I25">
        <f t="shared" si="1"/>
        <v>0</v>
      </c>
      <c r="J25" t="b">
        <f t="shared" si="2"/>
        <v>0</v>
      </c>
    </row>
    <row r="26" spans="6:10" ht="15" x14ac:dyDescent="0.2">
      <c r="F26" t="s">
        <v>34</v>
      </c>
      <c r="G26">
        <f>COUNTIF(A2:A4,NA())</f>
        <v>0</v>
      </c>
      <c r="H26">
        <f t="shared" si="0"/>
        <v>0</v>
      </c>
      <c r="I26">
        <f t="shared" si="1"/>
        <v>0</v>
      </c>
      <c r="J26" t="b">
        <f t="shared" si="2"/>
        <v>0</v>
      </c>
    </row>
    <row r="27" spans="6:10" ht="15" x14ac:dyDescent="0.2">
      <c r="F27" t="s">
        <v>35</v>
      </c>
      <c r="G27">
        <f>COUNTIFS(A2:A4,NA())</f>
        <v>0</v>
      </c>
      <c r="H27">
        <f t="shared" si="0"/>
        <v>0</v>
      </c>
      <c r="I27">
        <f t="shared" si="1"/>
        <v>0</v>
      </c>
      <c r="J27" t="b">
        <f t="shared" si="2"/>
        <v>0</v>
      </c>
    </row>
    <row r="28" spans="6:10" ht="15" x14ac:dyDescent="0.2">
      <c r="F28" t="s">
        <v>36</v>
      </c>
      <c r="G28">
        <f>SUMIF(A5:A6,NA(),B5:B6)</f>
        <v>30</v>
      </c>
      <c r="H28">
        <f t="shared" si="0"/>
        <v>30</v>
      </c>
      <c r="I28">
        <f t="shared" si="1"/>
        <v>30</v>
      </c>
      <c r="J28" t="b">
        <f t="shared" si="2"/>
        <v>0</v>
      </c>
    </row>
    <row r="29" spans="6:10" ht="15" x14ac:dyDescent="0.2">
      <c r="F29" t="s">
        <v>37</v>
      </c>
      <c r="G29">
        <f>SUMIFS(B5:B6,A5:A6,NA())</f>
        <v>30</v>
      </c>
      <c r="H29">
        <f t="shared" si="0"/>
        <v>30</v>
      </c>
      <c r="I29">
        <f t="shared" si="1"/>
        <v>30</v>
      </c>
      <c r="J29" t="b">
        <f t="shared" si="2"/>
        <v>0</v>
      </c>
    </row>
    <row r="30" spans="6:10" ht="15" x14ac:dyDescent="0.2">
      <c r="F30" t="s">
        <v>38</v>
      </c>
      <c r="G30">
        <f>AVERAGEIF(A5:A6,NA(),B5:B6)</f>
        <v>30</v>
      </c>
      <c r="H30">
        <f t="shared" si="0"/>
        <v>30</v>
      </c>
      <c r="I30">
        <f t="shared" si="1"/>
        <v>30</v>
      </c>
      <c r="J30" t="b">
        <f t="shared" si="2"/>
        <v>0</v>
      </c>
    </row>
    <row r="31" spans="6:10" ht="15" x14ac:dyDescent="0.2">
      <c r="F31" t="s">
        <v>39</v>
      </c>
      <c r="G31">
        <f>AVERAGEIFS(B5:B6,A5:A6,NA())</f>
        <v>30</v>
      </c>
      <c r="H31">
        <f t="shared" si="0"/>
        <v>30</v>
      </c>
      <c r="I31">
        <f t="shared" si="1"/>
        <v>30</v>
      </c>
      <c r="J31" t="b">
        <f t="shared" si="2"/>
        <v>0</v>
      </c>
    </row>
    <row r="32" spans="6:10" ht="15" x14ac:dyDescent="0.2">
      <c r="F32" t="s">
        <v>40</v>
      </c>
      <c r="G32">
        <f>_xlfn.MINIFS(B5:B6,A5:A6,NA())</f>
        <v>30</v>
      </c>
      <c r="H32">
        <f t="shared" si="0"/>
        <v>30</v>
      </c>
      <c r="I32">
        <f t="shared" si="1"/>
        <v>30</v>
      </c>
      <c r="J32" t="b">
        <f t="shared" si="2"/>
        <v>0</v>
      </c>
    </row>
    <row r="33" spans="6:10" ht="15" x14ac:dyDescent="0.2">
      <c r="F33" t="s">
        <v>41</v>
      </c>
      <c r="G33">
        <f>_xlfn.MAXIFS(B5:B6,A5:A6,NA())</f>
        <v>30</v>
      </c>
      <c r="H33">
        <f t="shared" si="0"/>
        <v>30</v>
      </c>
      <c r="I33">
        <f t="shared" si="1"/>
        <v>30</v>
      </c>
      <c r="J33" t="b">
        <f t="shared" si="2"/>
        <v>0</v>
      </c>
    </row>
    <row r="34" spans="6:10" ht="15" x14ac:dyDescent="0.2">
      <c r="F34" t="s">
        <v>42</v>
      </c>
      <c r="G34">
        <f>COUNTIF(A5:A6,NA())</f>
        <v>1</v>
      </c>
      <c r="H34">
        <f t="shared" ref="H34:H65" si="3">IFERROR(G34,99)</f>
        <v>1</v>
      </c>
      <c r="I34">
        <f t="shared" ref="I34:I65" si="4">_xlfn.IFNA(G34,99)</f>
        <v>1</v>
      </c>
      <c r="J34" t="b">
        <f t="shared" ref="J34:J65" si="5">ISERROR(G34)</f>
        <v>0</v>
      </c>
    </row>
    <row r="35" spans="6:10" ht="15" x14ac:dyDescent="0.2">
      <c r="F35" t="s">
        <v>43</v>
      </c>
      <c r="G35">
        <f>COUNTIFS(A5:A6,NA())</f>
        <v>1</v>
      </c>
      <c r="H35">
        <f t="shared" si="3"/>
        <v>1</v>
      </c>
      <c r="I35">
        <f t="shared" si="4"/>
        <v>1</v>
      </c>
      <c r="J35" t="b">
        <f t="shared" si="5"/>
        <v>0</v>
      </c>
    </row>
    <row r="36" spans="6:10" ht="15" x14ac:dyDescent="0.2">
      <c r="F36" t="s">
        <v>44</v>
      </c>
      <c r="G36">
        <f>SUMIF(A2:A4,$D$2,B2:B4)</f>
        <v>0</v>
      </c>
      <c r="H36">
        <f t="shared" si="3"/>
        <v>0</v>
      </c>
      <c r="I36">
        <f t="shared" si="4"/>
        <v>0</v>
      </c>
      <c r="J36" t="b">
        <f t="shared" si="5"/>
        <v>0</v>
      </c>
    </row>
    <row r="37" spans="6:10" ht="15" x14ac:dyDescent="0.2">
      <c r="F37" t="s">
        <v>45</v>
      </c>
      <c r="G37">
        <f>SUMIFS(B2:B4,A2:A4,$D$2)</f>
        <v>0</v>
      </c>
      <c r="H37">
        <f t="shared" si="3"/>
        <v>0</v>
      </c>
      <c r="I37">
        <f t="shared" si="4"/>
        <v>0</v>
      </c>
      <c r="J37" t="b">
        <f t="shared" si="5"/>
        <v>0</v>
      </c>
    </row>
    <row r="38" spans="6:10" ht="15" x14ac:dyDescent="0.2">
      <c r="F38" t="s">
        <v>46</v>
      </c>
      <c r="G38" t="e">
        <f>AVERAGEIF(A2:A4,$D$2,B2:B4)</f>
        <v>#DIV/0!</v>
      </c>
      <c r="H38">
        <f t="shared" si="3"/>
        <v>99</v>
      </c>
      <c r="I38" t="e">
        <f t="shared" si="4"/>
        <v>#DIV/0!</v>
      </c>
      <c r="J38" t="b">
        <f t="shared" si="5"/>
        <v>1</v>
      </c>
    </row>
    <row r="39" spans="6:10" ht="15" x14ac:dyDescent="0.2">
      <c r="F39" t="s">
        <v>47</v>
      </c>
      <c r="G39" t="e">
        <f>AVERAGEIFS(B2:B4,A2:A4,$D$2)</f>
        <v>#DIV/0!</v>
      </c>
      <c r="H39">
        <f t="shared" si="3"/>
        <v>99</v>
      </c>
      <c r="I39" t="e">
        <f t="shared" si="4"/>
        <v>#DIV/0!</v>
      </c>
      <c r="J39" t="b">
        <f t="shared" si="5"/>
        <v>1</v>
      </c>
    </row>
    <row r="40" spans="6:10" ht="15" x14ac:dyDescent="0.2">
      <c r="F40" t="s">
        <v>48</v>
      </c>
      <c r="G40">
        <f>_xlfn.MINIFS(B2:B4,A2:A4,$D$2)</f>
        <v>0</v>
      </c>
      <c r="H40">
        <f t="shared" si="3"/>
        <v>0</v>
      </c>
      <c r="I40">
        <f t="shared" si="4"/>
        <v>0</v>
      </c>
      <c r="J40" t="b">
        <f t="shared" si="5"/>
        <v>0</v>
      </c>
    </row>
    <row r="41" spans="6:10" ht="15" x14ac:dyDescent="0.2">
      <c r="F41" t="s">
        <v>49</v>
      </c>
      <c r="G41">
        <f>_xlfn.MAXIFS(B2:B4,A2:A4,$D$2)</f>
        <v>0</v>
      </c>
      <c r="H41">
        <f t="shared" si="3"/>
        <v>0</v>
      </c>
      <c r="I41">
        <f t="shared" si="4"/>
        <v>0</v>
      </c>
      <c r="J41" t="b">
        <f t="shared" si="5"/>
        <v>0</v>
      </c>
    </row>
    <row r="42" spans="6:10" ht="15" x14ac:dyDescent="0.2">
      <c r="F42" t="s">
        <v>50</v>
      </c>
      <c r="G42">
        <f>COUNTIF(A2:A4,$D$2)</f>
        <v>0</v>
      </c>
      <c r="H42">
        <f t="shared" si="3"/>
        <v>0</v>
      </c>
      <c r="I42">
        <f t="shared" si="4"/>
        <v>0</v>
      </c>
      <c r="J42" t="b">
        <f t="shared" si="5"/>
        <v>0</v>
      </c>
    </row>
    <row r="43" spans="6:10" ht="15" x14ac:dyDescent="0.2">
      <c r="F43" t="s">
        <v>51</v>
      </c>
      <c r="G43">
        <f>COUNTIFS(A2:A4,$D$2)</f>
        <v>0</v>
      </c>
      <c r="H43">
        <f t="shared" si="3"/>
        <v>0</v>
      </c>
      <c r="I43">
        <f t="shared" si="4"/>
        <v>0</v>
      </c>
      <c r="J43" t="b">
        <f t="shared" si="5"/>
        <v>0</v>
      </c>
    </row>
    <row r="44" spans="6:10" ht="15" x14ac:dyDescent="0.2">
      <c r="F44" t="s">
        <v>52</v>
      </c>
      <c r="G44">
        <f>SUMIF(A8:A9,$D$2,B8:B9)</f>
        <v>0</v>
      </c>
      <c r="H44">
        <f t="shared" si="3"/>
        <v>0</v>
      </c>
      <c r="I44">
        <f t="shared" si="4"/>
        <v>0</v>
      </c>
      <c r="J44" t="b">
        <f t="shared" si="5"/>
        <v>0</v>
      </c>
    </row>
    <row r="45" spans="6:10" ht="15" x14ac:dyDescent="0.2">
      <c r="F45" t="s">
        <v>53</v>
      </c>
      <c r="G45">
        <f>SUMIFS(B8:B9,A8:A9,$D$2)</f>
        <v>0</v>
      </c>
      <c r="H45">
        <f t="shared" si="3"/>
        <v>0</v>
      </c>
      <c r="I45">
        <f t="shared" si="4"/>
        <v>0</v>
      </c>
      <c r="J45" t="b">
        <f t="shared" si="5"/>
        <v>0</v>
      </c>
    </row>
    <row r="46" spans="6:10" ht="15" x14ac:dyDescent="0.2">
      <c r="F46" t="s">
        <v>54</v>
      </c>
      <c r="G46" t="e">
        <f>AVERAGEIF(A8:A9,$D$2,B8:B9)</f>
        <v>#DIV/0!</v>
      </c>
      <c r="H46">
        <f t="shared" si="3"/>
        <v>99</v>
      </c>
      <c r="I46" t="e">
        <f t="shared" si="4"/>
        <v>#DIV/0!</v>
      </c>
      <c r="J46" t="b">
        <f t="shared" si="5"/>
        <v>1</v>
      </c>
    </row>
    <row r="47" spans="6:10" ht="15" x14ac:dyDescent="0.2">
      <c r="F47" t="s">
        <v>55</v>
      </c>
      <c r="G47" t="e">
        <f>AVERAGEIFS(B8:B9,A8:A9,$D$2)</f>
        <v>#DIV/0!</v>
      </c>
      <c r="H47">
        <f t="shared" si="3"/>
        <v>99</v>
      </c>
      <c r="I47" t="e">
        <f t="shared" si="4"/>
        <v>#DIV/0!</v>
      </c>
      <c r="J47" t="b">
        <f t="shared" si="5"/>
        <v>1</v>
      </c>
    </row>
    <row r="48" spans="6:10" ht="15" x14ac:dyDescent="0.2">
      <c r="F48" t="s">
        <v>56</v>
      </c>
      <c r="G48">
        <f>_xlfn.MINIFS(B8:B9,A8:A9,$D$2)</f>
        <v>0</v>
      </c>
      <c r="H48">
        <f t="shared" si="3"/>
        <v>0</v>
      </c>
      <c r="I48">
        <f t="shared" si="4"/>
        <v>0</v>
      </c>
      <c r="J48" t="b">
        <f t="shared" si="5"/>
        <v>0</v>
      </c>
    </row>
    <row r="49" spans="6:10" ht="15" x14ac:dyDescent="0.2">
      <c r="F49" t="s">
        <v>57</v>
      </c>
      <c r="G49">
        <f>_xlfn.MAXIFS(B8:B9,A8:A9,$D$2)</f>
        <v>0</v>
      </c>
      <c r="H49">
        <f t="shared" si="3"/>
        <v>0</v>
      </c>
      <c r="I49">
        <f t="shared" si="4"/>
        <v>0</v>
      </c>
      <c r="J49" t="b">
        <f t="shared" si="5"/>
        <v>0</v>
      </c>
    </row>
    <row r="50" spans="6:10" ht="15" x14ac:dyDescent="0.2">
      <c r="F50" t="s">
        <v>58</v>
      </c>
      <c r="G50">
        <f>COUNTIF(A8:A9,$D$2)</f>
        <v>0</v>
      </c>
      <c r="H50">
        <f t="shared" si="3"/>
        <v>0</v>
      </c>
      <c r="I50">
        <f t="shared" si="4"/>
        <v>0</v>
      </c>
      <c r="J50" t="b">
        <f t="shared" si="5"/>
        <v>0</v>
      </c>
    </row>
    <row r="51" spans="6:10" ht="15" x14ac:dyDescent="0.2">
      <c r="F51" t="s">
        <v>59</v>
      </c>
      <c r="G51">
        <f>COUNTIFS(A8:A9,$D$2)</f>
        <v>0</v>
      </c>
      <c r="H51">
        <f t="shared" si="3"/>
        <v>0</v>
      </c>
      <c r="I51">
        <f t="shared" si="4"/>
        <v>0</v>
      </c>
      <c r="J51" t="b">
        <f t="shared" si="5"/>
        <v>0</v>
      </c>
    </row>
    <row r="52" spans="6:10" ht="15" x14ac:dyDescent="0.2">
      <c r="F52" t="s">
        <v>60</v>
      </c>
      <c r="G52">
        <f>SUMIF(A8:A9,"#N/A",B8:B9)</f>
        <v>10</v>
      </c>
      <c r="H52">
        <f t="shared" si="3"/>
        <v>10</v>
      </c>
      <c r="I52">
        <f t="shared" si="4"/>
        <v>10</v>
      </c>
      <c r="J52" t="b">
        <f t="shared" si="5"/>
        <v>0</v>
      </c>
    </row>
    <row r="53" spans="6:10" ht="15" x14ac:dyDescent="0.2">
      <c r="F53" t="s">
        <v>61</v>
      </c>
      <c r="G53">
        <f>SUMIFS(B8:B9,A8:A9,"#N/A")</f>
        <v>10</v>
      </c>
      <c r="H53">
        <f t="shared" si="3"/>
        <v>10</v>
      </c>
      <c r="I53">
        <f t="shared" si="4"/>
        <v>10</v>
      </c>
      <c r="J53" t="b">
        <f t="shared" si="5"/>
        <v>0</v>
      </c>
    </row>
    <row r="54" spans="6:10" ht="15" x14ac:dyDescent="0.2">
      <c r="F54" t="s">
        <v>62</v>
      </c>
      <c r="G54">
        <f>AVERAGEIF(A8:A9,"#N/A",B8:B9)</f>
        <v>10</v>
      </c>
      <c r="H54">
        <f t="shared" si="3"/>
        <v>10</v>
      </c>
      <c r="I54">
        <f t="shared" si="4"/>
        <v>10</v>
      </c>
      <c r="J54" t="b">
        <f t="shared" si="5"/>
        <v>0</v>
      </c>
    </row>
    <row r="55" spans="6:10" ht="15" x14ac:dyDescent="0.2">
      <c r="F55" t="s">
        <v>63</v>
      </c>
      <c r="G55">
        <f>AVERAGEIFS(B8:B9,A8:A9,"#N/A")</f>
        <v>10</v>
      </c>
      <c r="H55">
        <f t="shared" si="3"/>
        <v>10</v>
      </c>
      <c r="I55">
        <f t="shared" si="4"/>
        <v>10</v>
      </c>
      <c r="J55" t="b">
        <f t="shared" si="5"/>
        <v>0</v>
      </c>
    </row>
    <row r="56" spans="6:10" ht="15" x14ac:dyDescent="0.2">
      <c r="F56" t="s">
        <v>64</v>
      </c>
      <c r="G56">
        <f>_xlfn.MINIFS(B8:B9,A8:A9,"#N/A")</f>
        <v>10</v>
      </c>
      <c r="H56">
        <f t="shared" si="3"/>
        <v>10</v>
      </c>
      <c r="I56">
        <f t="shared" si="4"/>
        <v>10</v>
      </c>
      <c r="J56" t="b">
        <f t="shared" si="5"/>
        <v>0</v>
      </c>
    </row>
    <row r="57" spans="6:10" ht="15" x14ac:dyDescent="0.2">
      <c r="F57" t="s">
        <v>65</v>
      </c>
      <c r="G57">
        <f>_xlfn.MAXIFS(B8:B9,A8:A9,"#N/A")</f>
        <v>10</v>
      </c>
      <c r="H57">
        <f t="shared" si="3"/>
        <v>10</v>
      </c>
      <c r="I57">
        <f t="shared" si="4"/>
        <v>10</v>
      </c>
      <c r="J57" t="b">
        <f t="shared" si="5"/>
        <v>0</v>
      </c>
    </row>
    <row r="58" spans="6:10" ht="15" x14ac:dyDescent="0.2">
      <c r="F58" t="s">
        <v>66</v>
      </c>
      <c r="G58">
        <f>COUNTIF(A8:A9,"#N/A")</f>
        <v>1</v>
      </c>
      <c r="H58">
        <f t="shared" si="3"/>
        <v>1</v>
      </c>
      <c r="I58">
        <f t="shared" si="4"/>
        <v>1</v>
      </c>
      <c r="J58" t="b">
        <f t="shared" si="5"/>
        <v>0</v>
      </c>
    </row>
    <row r="59" spans="6:10" ht="15" x14ac:dyDescent="0.2">
      <c r="F59" t="s">
        <v>67</v>
      </c>
      <c r="G59">
        <f>COUNTIFS(A8:A9,"#N/A")</f>
        <v>1</v>
      </c>
      <c r="H59">
        <f t="shared" si="3"/>
        <v>1</v>
      </c>
      <c r="I59">
        <f t="shared" si="4"/>
        <v>1</v>
      </c>
      <c r="J59" t="b">
        <f t="shared" si="5"/>
        <v>0</v>
      </c>
    </row>
    <row r="60" spans="6:10" ht="15" x14ac:dyDescent="0.2">
      <c r="F60" t="s">
        <v>68</v>
      </c>
      <c r="G60">
        <f>SUMIF(A5:A6,"EU",B5:B6)</f>
        <v>20</v>
      </c>
      <c r="H60">
        <f t="shared" si="3"/>
        <v>20</v>
      </c>
      <c r="I60">
        <f t="shared" si="4"/>
        <v>20</v>
      </c>
      <c r="J60" t="b">
        <f t="shared" si="5"/>
        <v>0</v>
      </c>
    </row>
    <row r="61" spans="6:10" ht="15" x14ac:dyDescent="0.2">
      <c r="F61" t="s">
        <v>69</v>
      </c>
      <c r="G61">
        <f>SUMIFS(B5:B6,A5:A6,"EU")</f>
        <v>20</v>
      </c>
      <c r="H61">
        <f t="shared" si="3"/>
        <v>20</v>
      </c>
      <c r="I61">
        <f t="shared" si="4"/>
        <v>20</v>
      </c>
      <c r="J61" t="b">
        <f t="shared" si="5"/>
        <v>0</v>
      </c>
    </row>
    <row r="62" spans="6:10" ht="15" x14ac:dyDescent="0.2">
      <c r="F62" t="s">
        <v>70</v>
      </c>
      <c r="G62">
        <f>AVERAGEIF(A5:A6,"EU",B5:B6)</f>
        <v>20</v>
      </c>
      <c r="H62">
        <f t="shared" si="3"/>
        <v>20</v>
      </c>
      <c r="I62">
        <f t="shared" si="4"/>
        <v>20</v>
      </c>
      <c r="J62" t="b">
        <f t="shared" si="5"/>
        <v>0</v>
      </c>
    </row>
    <row r="63" spans="6:10" ht="15" x14ac:dyDescent="0.2">
      <c r="F63" t="s">
        <v>71</v>
      </c>
      <c r="G63">
        <f>AVERAGEIFS(B5:B6,A5:A6,"EU")</f>
        <v>20</v>
      </c>
      <c r="H63">
        <f t="shared" si="3"/>
        <v>20</v>
      </c>
      <c r="I63">
        <f t="shared" si="4"/>
        <v>20</v>
      </c>
      <c r="J63" t="b">
        <f t="shared" si="5"/>
        <v>0</v>
      </c>
    </row>
    <row r="64" spans="6:10" ht="15" x14ac:dyDescent="0.2">
      <c r="F64" t="s">
        <v>72</v>
      </c>
      <c r="G64">
        <f>_xlfn.MINIFS(B5:B6,A5:A6,"EU")</f>
        <v>20</v>
      </c>
      <c r="H64">
        <f t="shared" si="3"/>
        <v>20</v>
      </c>
      <c r="I64">
        <f t="shared" si="4"/>
        <v>20</v>
      </c>
      <c r="J64" t="b">
        <f t="shared" si="5"/>
        <v>0</v>
      </c>
    </row>
    <row r="65" spans="6:10" ht="15" x14ac:dyDescent="0.2">
      <c r="F65" t="s">
        <v>73</v>
      </c>
      <c r="G65">
        <f>_xlfn.MAXIFS(B5:B6,A5:A6,"EU")</f>
        <v>20</v>
      </c>
      <c r="H65">
        <f t="shared" si="3"/>
        <v>20</v>
      </c>
      <c r="I65">
        <f t="shared" si="4"/>
        <v>20</v>
      </c>
      <c r="J65" t="b">
        <f t="shared" si="5"/>
        <v>0</v>
      </c>
    </row>
    <row r="66" spans="6:10" ht="15" x14ac:dyDescent="0.2">
      <c r="F66" t="s">
        <v>74</v>
      </c>
      <c r="G66">
        <f>COUNTIF(A5:A6,"EU")</f>
        <v>1</v>
      </c>
      <c r="H66">
        <f t="shared" ref="H66:H97" si="6">IFERROR(G66,99)</f>
        <v>1</v>
      </c>
      <c r="I66">
        <f t="shared" ref="I66:I99" si="7">_xlfn.IFNA(G66,99)</f>
        <v>1</v>
      </c>
      <c r="J66" t="b">
        <f t="shared" ref="J66:J99" si="8">ISERROR(G66)</f>
        <v>0</v>
      </c>
    </row>
    <row r="67" spans="6:10" ht="15" x14ac:dyDescent="0.2">
      <c r="F67" t="s">
        <v>75</v>
      </c>
      <c r="G67">
        <f>COUNTIFS(A5:A6,"EU")</f>
        <v>1</v>
      </c>
      <c r="H67">
        <f t="shared" si="6"/>
        <v>1</v>
      </c>
      <c r="I67">
        <f t="shared" si="7"/>
        <v>1</v>
      </c>
      <c r="J67" t="b">
        <f t="shared" si="8"/>
        <v>0</v>
      </c>
    </row>
    <row r="68" spans="6:10" ht="15" x14ac:dyDescent="0.2">
      <c r="F68" t="s">
        <v>76</v>
      </c>
      <c r="G68">
        <f>SUMIF(A5:A6,"#N/A",B5:B6)</f>
        <v>0</v>
      </c>
      <c r="H68">
        <f t="shared" si="6"/>
        <v>0</v>
      </c>
      <c r="I68">
        <f t="shared" si="7"/>
        <v>0</v>
      </c>
      <c r="J68" t="b">
        <f t="shared" si="8"/>
        <v>0</v>
      </c>
    </row>
    <row r="69" spans="6:10" ht="15" x14ac:dyDescent="0.2">
      <c r="F69" t="s">
        <v>77</v>
      </c>
      <c r="G69">
        <f>SUMIFS(B5:B6,A5:A6,"#N/A")</f>
        <v>0</v>
      </c>
      <c r="H69">
        <f t="shared" si="6"/>
        <v>0</v>
      </c>
      <c r="I69">
        <f t="shared" si="7"/>
        <v>0</v>
      </c>
      <c r="J69" t="b">
        <f t="shared" si="8"/>
        <v>0</v>
      </c>
    </row>
    <row r="70" spans="6:10" ht="15" x14ac:dyDescent="0.2">
      <c r="F70" t="s">
        <v>78</v>
      </c>
      <c r="G70" t="e">
        <f>AVERAGEIF(A5:A6,"#N/A",B5:B6)</f>
        <v>#DIV/0!</v>
      </c>
      <c r="H70">
        <f t="shared" si="6"/>
        <v>99</v>
      </c>
      <c r="I70" t="e">
        <f t="shared" si="7"/>
        <v>#DIV/0!</v>
      </c>
      <c r="J70" t="b">
        <f t="shared" si="8"/>
        <v>1</v>
      </c>
    </row>
    <row r="71" spans="6:10" ht="15" x14ac:dyDescent="0.2">
      <c r="F71" t="s">
        <v>79</v>
      </c>
      <c r="G71" t="e">
        <f>AVERAGEIFS(B5:B6,A5:A6,"#N/A")</f>
        <v>#DIV/0!</v>
      </c>
      <c r="H71">
        <f t="shared" si="6"/>
        <v>99</v>
      </c>
      <c r="I71" t="e">
        <f t="shared" si="7"/>
        <v>#DIV/0!</v>
      </c>
      <c r="J71" t="b">
        <f t="shared" si="8"/>
        <v>1</v>
      </c>
    </row>
    <row r="72" spans="6:10" ht="15" x14ac:dyDescent="0.2">
      <c r="F72" t="s">
        <v>80</v>
      </c>
      <c r="G72">
        <f>_xlfn.MINIFS(B5:B6,A5:A6,"#N/A")</f>
        <v>0</v>
      </c>
      <c r="H72">
        <f t="shared" si="6"/>
        <v>0</v>
      </c>
      <c r="I72">
        <f t="shared" si="7"/>
        <v>0</v>
      </c>
      <c r="J72" t="b">
        <f t="shared" si="8"/>
        <v>0</v>
      </c>
    </row>
    <row r="73" spans="6:10" ht="15" x14ac:dyDescent="0.2">
      <c r="F73" t="s">
        <v>81</v>
      </c>
      <c r="G73">
        <f>_xlfn.MAXIFS(B5:B6,A5:A6,"#N/A")</f>
        <v>0</v>
      </c>
      <c r="H73">
        <f t="shared" si="6"/>
        <v>0</v>
      </c>
      <c r="I73">
        <f t="shared" si="7"/>
        <v>0</v>
      </c>
      <c r="J73" t="b">
        <f t="shared" si="8"/>
        <v>0</v>
      </c>
    </row>
    <row r="74" spans="6:10" ht="15" x14ac:dyDescent="0.2">
      <c r="F74" t="s">
        <v>82</v>
      </c>
      <c r="G74">
        <f>COUNTIF(A5:A6,"#N/A")</f>
        <v>0</v>
      </c>
      <c r="H74">
        <f t="shared" si="6"/>
        <v>0</v>
      </c>
      <c r="I74">
        <f t="shared" si="7"/>
        <v>0</v>
      </c>
      <c r="J74" t="b">
        <f t="shared" si="8"/>
        <v>0</v>
      </c>
    </row>
    <row r="75" spans="6:10" ht="15" x14ac:dyDescent="0.2">
      <c r="F75" t="s">
        <v>83</v>
      </c>
      <c r="G75">
        <f>COUNTIFS(A5:A6,"#N/A")</f>
        <v>0</v>
      </c>
      <c r="H75">
        <f t="shared" si="6"/>
        <v>0</v>
      </c>
      <c r="I75">
        <f t="shared" si="7"/>
        <v>0</v>
      </c>
      <c r="J75" t="b">
        <f t="shared" si="8"/>
        <v>0</v>
      </c>
    </row>
    <row r="76" spans="6:10" ht="15" x14ac:dyDescent="0.2">
      <c r="F76" t="s">
        <v>84</v>
      </c>
      <c r="G76">
        <f>SUMIF(A10:A11,NA(),B10:B11)</f>
        <v>30</v>
      </c>
      <c r="H76">
        <f t="shared" si="6"/>
        <v>30</v>
      </c>
      <c r="I76">
        <f t="shared" si="7"/>
        <v>30</v>
      </c>
      <c r="J76" t="b">
        <f t="shared" si="8"/>
        <v>0</v>
      </c>
    </row>
    <row r="77" spans="6:10" ht="15" x14ac:dyDescent="0.2">
      <c r="F77" t="s">
        <v>85</v>
      </c>
      <c r="G77">
        <f>SUMIFS(B10:B11,A10:A11,NA())</f>
        <v>30</v>
      </c>
      <c r="H77">
        <f t="shared" si="6"/>
        <v>30</v>
      </c>
      <c r="I77">
        <f t="shared" si="7"/>
        <v>30</v>
      </c>
      <c r="J77" t="b">
        <f t="shared" si="8"/>
        <v>0</v>
      </c>
    </row>
    <row r="78" spans="6:10" ht="15" x14ac:dyDescent="0.2">
      <c r="F78" t="s">
        <v>86</v>
      </c>
      <c r="G78">
        <f>AVERAGEIF(A10:A11,NA(),B10:B11)</f>
        <v>30</v>
      </c>
      <c r="H78">
        <f t="shared" si="6"/>
        <v>30</v>
      </c>
      <c r="I78">
        <f t="shared" si="7"/>
        <v>30</v>
      </c>
      <c r="J78" t="b">
        <f t="shared" si="8"/>
        <v>0</v>
      </c>
    </row>
    <row r="79" spans="6:10" ht="15" x14ac:dyDescent="0.2">
      <c r="F79" t="s">
        <v>87</v>
      </c>
      <c r="G79">
        <f>AVERAGEIFS(B10:B11,A10:A11,NA())</f>
        <v>30</v>
      </c>
      <c r="H79">
        <f t="shared" si="6"/>
        <v>30</v>
      </c>
      <c r="I79">
        <f t="shared" si="7"/>
        <v>30</v>
      </c>
      <c r="J79" t="b">
        <f t="shared" si="8"/>
        <v>0</v>
      </c>
    </row>
    <row r="80" spans="6:10" ht="15" x14ac:dyDescent="0.2">
      <c r="F80" t="s">
        <v>88</v>
      </c>
      <c r="G80">
        <f>_xlfn.MINIFS(B10:B11,A10:A11,NA())</f>
        <v>30</v>
      </c>
      <c r="H80">
        <f t="shared" si="6"/>
        <v>30</v>
      </c>
      <c r="I80">
        <f t="shared" si="7"/>
        <v>30</v>
      </c>
      <c r="J80" t="b">
        <f t="shared" si="8"/>
        <v>0</v>
      </c>
    </row>
    <row r="81" spans="6:10" ht="15" x14ac:dyDescent="0.2">
      <c r="F81" t="s">
        <v>89</v>
      </c>
      <c r="G81">
        <f>_xlfn.MAXIFS(B10:B11,A10:A11,NA())</f>
        <v>30</v>
      </c>
      <c r="H81">
        <f t="shared" si="6"/>
        <v>30</v>
      </c>
      <c r="I81">
        <f t="shared" si="7"/>
        <v>30</v>
      </c>
      <c r="J81" t="b">
        <f t="shared" si="8"/>
        <v>0</v>
      </c>
    </row>
    <row r="82" spans="6:10" ht="15" x14ac:dyDescent="0.2">
      <c r="F82" t="s">
        <v>90</v>
      </c>
      <c r="G82">
        <f>COUNTIF(A10:A11,NA())</f>
        <v>1</v>
      </c>
      <c r="H82">
        <f t="shared" si="6"/>
        <v>1</v>
      </c>
      <c r="I82">
        <f t="shared" si="7"/>
        <v>1</v>
      </c>
      <c r="J82" t="b">
        <f t="shared" si="8"/>
        <v>0</v>
      </c>
    </row>
    <row r="83" spans="6:10" ht="15" x14ac:dyDescent="0.2">
      <c r="F83" t="s">
        <v>91</v>
      </c>
      <c r="G83">
        <f>COUNTIFS(A10:A11,NA())</f>
        <v>1</v>
      </c>
      <c r="H83">
        <f t="shared" si="6"/>
        <v>1</v>
      </c>
      <c r="I83">
        <f t="shared" si="7"/>
        <v>1</v>
      </c>
      <c r="J83" t="b">
        <f t="shared" si="8"/>
        <v>0</v>
      </c>
    </row>
    <row r="84" spans="6:10" ht="15" x14ac:dyDescent="0.2">
      <c r="F84" t="s">
        <v>92</v>
      </c>
      <c r="G84">
        <f>SUMIF(A10:A11,1/0,B10:B11)</f>
        <v>50</v>
      </c>
      <c r="H84">
        <f t="shared" si="6"/>
        <v>50</v>
      </c>
      <c r="I84">
        <f t="shared" si="7"/>
        <v>50</v>
      </c>
      <c r="J84" t="b">
        <f t="shared" si="8"/>
        <v>0</v>
      </c>
    </row>
    <row r="85" spans="6:10" ht="15" x14ac:dyDescent="0.2">
      <c r="F85" t="s">
        <v>93</v>
      </c>
      <c r="G85">
        <f>SUMIFS(B10:B11,A10:A11,1/0)</f>
        <v>50</v>
      </c>
      <c r="H85">
        <f t="shared" si="6"/>
        <v>50</v>
      </c>
      <c r="I85">
        <f t="shared" si="7"/>
        <v>50</v>
      </c>
      <c r="J85" t="b">
        <f t="shared" si="8"/>
        <v>0</v>
      </c>
    </row>
    <row r="86" spans="6:10" ht="15" x14ac:dyDescent="0.2">
      <c r="F86" t="s">
        <v>94</v>
      </c>
      <c r="G86">
        <f>AVERAGEIF(A10:A11,1/0,B10:B11)</f>
        <v>50</v>
      </c>
      <c r="H86">
        <f t="shared" si="6"/>
        <v>50</v>
      </c>
      <c r="I86">
        <f t="shared" si="7"/>
        <v>50</v>
      </c>
      <c r="J86" t="b">
        <f t="shared" si="8"/>
        <v>0</v>
      </c>
    </row>
    <row r="87" spans="6:10" ht="15" x14ac:dyDescent="0.2">
      <c r="F87" t="s">
        <v>95</v>
      </c>
      <c r="G87">
        <f>AVERAGEIFS(B10:B11,A10:A11,1/0)</f>
        <v>50</v>
      </c>
      <c r="H87">
        <f t="shared" si="6"/>
        <v>50</v>
      </c>
      <c r="I87">
        <f t="shared" si="7"/>
        <v>50</v>
      </c>
      <c r="J87" t="b">
        <f t="shared" si="8"/>
        <v>0</v>
      </c>
    </row>
    <row r="88" spans="6:10" ht="15" x14ac:dyDescent="0.2">
      <c r="F88" t="s">
        <v>96</v>
      </c>
      <c r="G88">
        <f>_xlfn.MINIFS(B10:B11,A10:A11,1/0)</f>
        <v>50</v>
      </c>
      <c r="H88">
        <f t="shared" si="6"/>
        <v>50</v>
      </c>
      <c r="I88">
        <f t="shared" si="7"/>
        <v>50</v>
      </c>
      <c r="J88" t="b">
        <f t="shared" si="8"/>
        <v>0</v>
      </c>
    </row>
    <row r="89" spans="6:10" ht="15" x14ac:dyDescent="0.2">
      <c r="F89" t="s">
        <v>97</v>
      </c>
      <c r="G89">
        <f>_xlfn.MAXIFS(B10:B11,A10:A11,1/0)</f>
        <v>50</v>
      </c>
      <c r="H89">
        <f t="shared" si="6"/>
        <v>50</v>
      </c>
      <c r="I89">
        <f t="shared" si="7"/>
        <v>50</v>
      </c>
      <c r="J89" t="b">
        <f t="shared" si="8"/>
        <v>0</v>
      </c>
    </row>
    <row r="90" spans="6:10" ht="15" x14ac:dyDescent="0.2">
      <c r="F90" t="s">
        <v>98</v>
      </c>
      <c r="G90">
        <f>COUNTIF(A10:A11,1/0)</f>
        <v>1</v>
      </c>
      <c r="H90">
        <f t="shared" si="6"/>
        <v>1</v>
      </c>
      <c r="I90">
        <f t="shared" si="7"/>
        <v>1</v>
      </c>
      <c r="J90" t="b">
        <f t="shared" si="8"/>
        <v>0</v>
      </c>
    </row>
    <row r="91" spans="6:10" ht="15" x14ac:dyDescent="0.2">
      <c r="F91" t="s">
        <v>99</v>
      </c>
      <c r="G91">
        <f>COUNTIFS(A10:A11,1/0)</f>
        <v>1</v>
      </c>
      <c r="H91">
        <f t="shared" si="6"/>
        <v>1</v>
      </c>
      <c r="I91">
        <f t="shared" si="7"/>
        <v>1</v>
      </c>
      <c r="J91" t="b">
        <f t="shared" si="8"/>
        <v>0</v>
      </c>
    </row>
    <row r="92" spans="6:10" ht="15" x14ac:dyDescent="0.2">
      <c r="F92" t="s">
        <v>100</v>
      </c>
      <c r="G92">
        <f>SUMIF(A5,"&lt;&gt;EU",B5)</f>
        <v>30</v>
      </c>
      <c r="H92">
        <f t="shared" si="6"/>
        <v>30</v>
      </c>
      <c r="I92">
        <f t="shared" si="7"/>
        <v>30</v>
      </c>
      <c r="J92" t="b">
        <f t="shared" si="8"/>
        <v>0</v>
      </c>
    </row>
    <row r="93" spans="6:10" ht="15" x14ac:dyDescent="0.2">
      <c r="F93" t="s">
        <v>101</v>
      </c>
      <c r="G93">
        <f>COUNTIF(A5,"&lt;&gt;EU")</f>
        <v>1</v>
      </c>
      <c r="H93">
        <f t="shared" si="6"/>
        <v>1</v>
      </c>
      <c r="I93">
        <f t="shared" si="7"/>
        <v>1</v>
      </c>
      <c r="J93" t="b">
        <f t="shared" si="8"/>
        <v>0</v>
      </c>
    </row>
    <row r="94" spans="6:10" ht="15" x14ac:dyDescent="0.2">
      <c r="F94" t="s">
        <v>102</v>
      </c>
      <c r="G94">
        <f>SUMIF(A5,"&lt;&gt;",B5)</f>
        <v>30</v>
      </c>
      <c r="H94">
        <f t="shared" si="6"/>
        <v>30</v>
      </c>
      <c r="I94">
        <f t="shared" si="7"/>
        <v>30</v>
      </c>
      <c r="J94" t="b">
        <f t="shared" si="8"/>
        <v>0</v>
      </c>
    </row>
    <row r="95" spans="6:10" ht="15" x14ac:dyDescent="0.2">
      <c r="F95" t="s">
        <v>103</v>
      </c>
      <c r="G95">
        <f>COUNTIF(A5,"&lt;&gt;")</f>
        <v>1</v>
      </c>
      <c r="H95">
        <f t="shared" si="6"/>
        <v>1</v>
      </c>
      <c r="I95">
        <f t="shared" si="7"/>
        <v>1</v>
      </c>
      <c r="J95" t="b">
        <f t="shared" si="8"/>
        <v>0</v>
      </c>
    </row>
    <row r="96" spans="6:10" ht="15" x14ac:dyDescent="0.2">
      <c r="F96" t="s">
        <v>104</v>
      </c>
      <c r="G96">
        <f>SUMIF(A5,"*",B5)</f>
        <v>0</v>
      </c>
      <c r="H96">
        <f t="shared" si="6"/>
        <v>0</v>
      </c>
      <c r="I96">
        <f t="shared" si="7"/>
        <v>0</v>
      </c>
      <c r="J96" t="b">
        <f t="shared" si="8"/>
        <v>0</v>
      </c>
    </row>
    <row r="97" spans="6:10" ht="15" x14ac:dyDescent="0.2">
      <c r="F97" t="s">
        <v>105</v>
      </c>
      <c r="G97">
        <f>COUNTIF(A5,"*")</f>
        <v>0</v>
      </c>
      <c r="H97">
        <f t="shared" si="6"/>
        <v>0</v>
      </c>
      <c r="I97">
        <f t="shared" si="7"/>
        <v>0</v>
      </c>
      <c r="J97" t="b">
        <f t="shared" si="8"/>
        <v>0</v>
      </c>
    </row>
    <row r="98" spans="6:10" ht="15" x14ac:dyDescent="0.2">
      <c r="F98" t="s">
        <v>106</v>
      </c>
      <c r="G98">
        <f>SUMIF(A5,"&gt;=EU",B5)</f>
        <v>0</v>
      </c>
      <c r="H98">
        <f t="shared" ref="H98:H129" si="9">IFERROR(G98,99)</f>
        <v>0</v>
      </c>
      <c r="I98">
        <f t="shared" si="7"/>
        <v>0</v>
      </c>
      <c r="J98" t="b">
        <f t="shared" si="8"/>
        <v>0</v>
      </c>
    </row>
    <row r="99" spans="6:10" ht="15" x14ac:dyDescent="0.2">
      <c r="F99" t="s">
        <v>107</v>
      </c>
      <c r="G99">
        <f>COUNTIF(A5,"&gt;=EU")</f>
        <v>0</v>
      </c>
      <c r="H99">
        <f t="shared" si="9"/>
        <v>0</v>
      </c>
      <c r="I99">
        <f t="shared" si="7"/>
        <v>0</v>
      </c>
      <c r="J99" t="b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Conditional typed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2026-10-11T12:40:12Z</dcterms:created>
  <dcterms:modified xsi:type="dcterms:W3CDTF">2026-10-11T12:40:12Z</dcterms:modified>
</cp:coreProperties>
</file>