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conditional-aggregates/native/"/>
    </mc:Choice>
  </mc:AlternateContent>
  <xr:revisionPtr revIDLastSave="0" documentId="8_{2B603515-6B80-244C-A81D-0370D901EFC1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Crite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<sst xmlns="http://schemas.openxmlformats.org/spreadsheetml/2006/main" count="43" uniqueCount="33">
  <si>
    <t>Region</t>
  </si>
  <si>
    <t>Status</t>
  </si>
  <si>
    <t>Value</t>
  </si>
  <si>
    <t>Units</t>
  </si>
  <si>
    <t>Case</t>
  </si>
  <si>
    <t>Result</t>
  </si>
  <si>
    <t>EU</t>
  </si>
  <si>
    <t>Open</t>
  </si>
  <si>
    <t>Sum two criteria</t>
  </si>
  <si>
    <t>Closed</t>
  </si>
  <si>
    <t>Count two criteria</t>
  </si>
  <si>
    <t>US</t>
  </si>
  <si>
    <t>Average named region</t>
  </si>
  <si>
    <t>eu</t>
  </si>
  <si>
    <t>Average two criteria</t>
  </si>
  <si>
    <t>E*</t>
  </si>
  <si>
    <t>Sum numeric criterion</t>
  </si>
  <si>
    <t>Count numeric criteria</t>
  </si>
  <si>
    <t>Sum wildcard</t>
  </si>
  <si>
    <t>Sum literal wildcard</t>
  </si>
  <si>
    <t>Count not equal</t>
  </si>
  <si>
    <t>Average missing guard</t>
  </si>
  <si>
    <t>&gt;=20</t>
  </si>
  <si>
    <t>Average numeric range</t>
  </si>
  <si>
    <t>Average closed</t>
  </si>
  <si>
    <t>Sum no matches</t>
  </si>
  <si>
    <t>Count no matches</t>
  </si>
  <si>
    <t>Count single cell</t>
  </si>
  <si>
    <t>Sum single cell</t>
  </si>
  <si>
    <t>Average single cell</t>
  </si>
  <si>
    <t>Average if single cell</t>
  </si>
  <si>
    <t>Sum criterion cells</t>
  </si>
  <si>
    <t>Count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</si>
</sst>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2" x14ac:knownFonts="1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3" sqref="C3"/>
    </sheetView>
  </sheetViews>
  <sheetFormatPr baseColWidth="10" defaultColWidth="8.5" defaultRowHeight="12.75" customHeight="1" x14ac:dyDescent="0.2"/>
  <cols>
    <col min="1" max="2" width="13" customWidth="1"/>
    <col min="3" max="4" width="10.6640625" customWidth="1"/>
    <col min="5" max="5" width="2.6640625" customWidth="1"/>
    <col min="6" max="6" width="40.5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1" t="s">
        <v>6</v>
      </c>
      <c r="B2" s="1" t="s">
        <v>7</v>
      </c>
      <c r="C2" s="2">
        <v>40</v>
      </c>
      <c r="D2" s="2">
        <v>1</v>
      </c>
      <c r="E2" s="1"/>
      <c r="F2" s="1" t="s">
        <v>8</v>
      </c>
      <c r="G2" s="2">
        <f>SUMIFS(C2:C9,A2:A9,"EU",C2:C9,"&gt;=0")</f>
        <v>100</v>
      </c>
    </row>
    <row r="3" spans="1:7" x14ac:dyDescent="0.2">
      <c r="A3" s="1" t="s">
        <v>6</v>
      </c>
      <c r="B3" s="1" t="s">
        <v>9</v>
      </c>
      <c r="C3" s="2">
        <v>20</v>
      </c>
      <c r="D3" s="2">
        <v>2</v>
      </c>
      <c r="E3" s="1"/>
      <c r="F3" s="1" t="s">
        <v>10</v>
      </c>
      <c r="G3" s="2">
        <f>COUNTIFS(A2:A9,"EU",B2:B9,"Open")</f>
        <v>3</v>
      </c>
    </row>
    <row r="4" spans="1:7" x14ac:dyDescent="0.2">
      <c r="A4" s="1" t="s">
        <v>11</v>
      </c>
      <c r="B4" s="1" t="s">
        <v>7</v>
      </c>
      <c r="C4" s="2">
        <v>30</v>
      </c>
      <c r="D4" s="2">
        <v>3</v>
      </c>
      <c r="E4" s="1"/>
      <c r="F4" s="1" t="s">
        <v>12</v>
      </c>
      <c r="G4" s="2">
        <f>AVERAGEIF(A2:A9,"EU",C2:C9)</f>
        <v>23.75</v>
      </c>
    </row>
    <row r="5" spans="1:7" x14ac:dyDescent="0.2">
      <c r="A5" s="1" t="s">
        <v>13</v>
      </c>
      <c r="B5" s="1" t="s">
        <v>7</v>
      </c>
      <c r="C5" s="2">
        <v>40</v>
      </c>
      <c r="D5" s="2">
        <v>4</v>
      </c>
      <c r="E5" s="1"/>
      <c r="F5" s="1" t="s">
        <v>14</v>
      </c>
      <c r="G5" s="2">
        <f>AVERAGEIFS(C2:C9,A2:A9,"EU",B2:B9,"Open")</f>
        <v>25</v>
      </c>
    </row>
    <row r="6" spans="1:7" x14ac:dyDescent="0.2">
      <c r="A6" s="1" t="s">
        <v>15</v>
      </c>
      <c r="B6" s="1" t="s">
        <v>7</v>
      </c>
      <c r="C6" s="2">
        <v>50</v>
      </c>
      <c r="D6" s="2">
        <v>5</v>
      </c>
      <c r="E6" s="1"/>
      <c r="F6" s="1" t="s">
        <v>16</v>
      </c>
      <c r="G6" s="2">
        <f>SUMIFS(C2:C9,D2:D9,"&gt;=2")</f>
        <v>135</v>
      </c>
    </row>
    <row r="7" spans="1:7" x14ac:dyDescent="0.2">
      <c r="A7" s="1"/>
      <c r="B7" s="1" t="s">
        <v>7</v>
      </c>
      <c r="C7" s="2">
        <v>60</v>
      </c>
      <c r="D7" s="2">
        <v>0</v>
      </c>
      <c r="E7" s="1"/>
      <c r="F7" s="1" t="s">
        <v>17</v>
      </c>
      <c r="G7" s="2">
        <f>COUNTIFS(C2:C9,"&gt;=20",D2:D9,"&gt;=2")</f>
        <v>4</v>
      </c>
    </row>
    <row r="8" spans="1:7" x14ac:dyDescent="0.2">
      <c r="A8" s="1" t="s">
        <v>6</v>
      </c>
      <c r="B8" s="1" t="s">
        <v>7</v>
      </c>
      <c r="C8" s="2">
        <v>-5</v>
      </c>
      <c r="D8" s="2">
        <v>2</v>
      </c>
      <c r="E8" s="1"/>
      <c r="F8" s="1" t="s">
        <v>18</v>
      </c>
      <c r="G8" s="2">
        <f>SUMIFS(C2:C9,A2:A9,"E*",B2:B9,"Open")</f>
        <v>125</v>
      </c>
    </row>
    <row r="9" spans="1:7" x14ac:dyDescent="0.2">
      <c r="A9" s="1" t="s">
        <v>11</v>
      </c>
      <c r="B9" s="1" t="s">
        <v>9</v>
      </c>
      <c r="C9" s="2">
        <v>0</v>
      </c>
      <c r="D9" s="2">
        <v>1</v>
      </c>
      <c r="E9" s="1"/>
      <c r="F9" s="1" t="s">
        <v>19</v>
      </c>
      <c r="G9" s="2">
        <f>SUMIFS(C2:C9,A2:A9,"E~*")</f>
        <v>50</v>
      </c>
    </row>
    <row r="10" spans="1:7" x14ac:dyDescent="0.2">
      <c r="A10" s="1"/>
      <c r="B10" s="1"/>
      <c r="C10" s="1"/>
      <c r="D10" s="1"/>
      <c r="E10" s="1"/>
      <c r="F10" s="1" t="s">
        <v>20</v>
      </c>
      <c r="G10" s="2">
        <f>COUNTIFS(A2:A9,"&lt;&gt;US",B2:B9,"Open")</f>
        <v>5</v>
      </c>
    </row>
    <row r="11" spans="1:7" x14ac:dyDescent="0.2">
      <c r="A11" s="1"/>
      <c r="B11" s="1"/>
      <c r="C11" s="1"/>
      <c r="D11" s="1" t="s">
        <v>6</v>
      </c>
      <c r="E11" s="1"/>
      <c r="F11" s="1" t="s">
        <v>21</v>
      </c>
      <c r="G11" s="2">
        <f>IFERROR(AVERAGEIFS(C2:C9,A2:A9,"None"),999)</f>
        <v>999</v>
      </c>
    </row>
    <row r="12" spans="1:7" x14ac:dyDescent="0.2">
      <c r="A12" s="1"/>
      <c r="B12" s="1"/>
      <c r="C12" s="1"/>
      <c r="D12" s="1" t="s">
        <v>22</v>
      </c>
      <c r="E12" s="1"/>
      <c r="F12" s="1" t="s">
        <v>23</v>
      </c>
      <c r="G12" s="2">
        <f>AVERAGEIF(C2:C9,"&gt;=0")</f>
        <v>34.285714285714285</v>
      </c>
    </row>
    <row r="13" spans="1:7" x14ac:dyDescent="0.2">
      <c r="A13" s="1"/>
      <c r="B13" s="1"/>
      <c r="C13" s="1"/>
      <c r="D13" s="1"/>
      <c r="E13" s="1"/>
      <c r="F13" s="1" t="s">
        <v>24</v>
      </c>
      <c r="G13" s="2">
        <f>AVERAGEIF(B2:B9,"Closed",C2:C9)</f>
        <v>10</v>
      </c>
    </row>
    <row r="14" spans="1:7" x14ac:dyDescent="0.2">
      <c r="A14" s="1"/>
      <c r="B14" s="1"/>
      <c r="C14" s="1"/>
      <c r="D14" s="1"/>
      <c r="E14" s="1"/>
      <c r="F14" s="1" t="s">
        <v>25</v>
      </c>
      <c r="G14" s="2">
        <f>SUMIFS(C2:C9,A2:A9,"None")</f>
        <v>0</v>
      </c>
    </row>
    <row r="15" spans="1:7" x14ac:dyDescent="0.2">
      <c r="A15" s="1"/>
      <c r="B15" s="1"/>
      <c r="C15" s="1"/>
      <c r="D15" s="1"/>
      <c r="E15" s="1"/>
      <c r="F15" s="1" t="s">
        <v>26</v>
      </c>
      <c r="G15" s="2">
        <f>COUNTIFS(A2:A9,"None")</f>
        <v>0</v>
      </c>
    </row>
    <row r="16" spans="1:7" x14ac:dyDescent="0.2">
      <c r="A16" s="1"/>
      <c r="B16" s="1"/>
      <c r="C16" s="1"/>
      <c r="D16" s="1"/>
      <c r="E16" s="1"/>
      <c r="F16" s="1" t="s">
        <v>27</v>
      </c>
      <c r="G16" s="2">
        <f>COUNTIFS(A2,"EU")</f>
        <v>1</v>
      </c>
    </row>
    <row r="17" spans="1:7" x14ac:dyDescent="0.2">
      <c r="A17" s="1"/>
      <c r="B17" s="1"/>
      <c r="C17" s="1"/>
      <c r="D17" s="1"/>
      <c r="E17" s="1"/>
      <c r="F17" s="1" t="s">
        <v>28</v>
      </c>
      <c r="G17" s="2">
        <f>SUMIFS(C2,A2,"EU")</f>
        <v>40</v>
      </c>
    </row>
    <row r="18" spans="1:7" x14ac:dyDescent="0.2">
      <c r="A18" s="1"/>
      <c r="B18" s="1"/>
      <c r="C18" s="1"/>
      <c r="D18" s="1"/>
      <c r="E18" s="1"/>
      <c r="F18" s="1" t="s">
        <v>29</v>
      </c>
      <c r="G18" s="2">
        <f>AVERAGEIFS(C2,A2,"EU")</f>
        <v>40</v>
      </c>
    </row>
    <row r="19" spans="1:7" x14ac:dyDescent="0.2">
      <c r="A19" s="1"/>
      <c r="B19" s="1"/>
      <c r="C19" s="1"/>
      <c r="D19" s="1"/>
      <c r="E19" s="1"/>
      <c r="F19" s="1" t="s">
        <v>30</v>
      </c>
      <c r="G19" s="2">
        <f>AVERAGEIF(A2,"EU",C2)</f>
        <v>40</v>
      </c>
    </row>
    <row r="20" spans="1:7" x14ac:dyDescent="0.2">
      <c r="A20" s="1"/>
      <c r="B20" s="1"/>
      <c r="C20" s="1"/>
      <c r="D20" s="1"/>
      <c r="E20" s="1"/>
      <c r="F20" s="1" t="s">
        <v>31</v>
      </c>
      <c r="G20" s="2">
        <f>SUMIFS(C2:C9,A2:A9,$D$11,C2:C9,$D$12)</f>
        <v>100</v>
      </c>
    </row>
    <row r="21" spans="1:7" x14ac:dyDescent="0.2">
      <c r="A21" s="1"/>
      <c r="B21" s="1"/>
      <c r="C21" s="1"/>
      <c r="D21" s="1"/>
      <c r="E21" s="1"/>
      <c r="F21" s="1" t="s">
        <v>32</v>
      </c>
      <c r="G21" s="2">
        <f>COUNTIFS(C2:C9,0)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2026-10-11T11:55:14Z</dcterms:created>
  <dcterms:modified xsi:type="dcterms:W3CDTF">2026-10-11T11:56:13Z</dcterms:modified>
</cp:coreProperties>
</file>