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:r="http://schemas.openxmlformats.org/officeDocument/2006/relationships" xmlns="http://schemas.openxmlformats.org/spreadsheetml/2006/main">
  <x:bookViews xmlns:x="http://schemas.openxmlformats.org/spreadsheetml/2006/main">
    <x:workbookView/>
  </x:bookViews>
  <sheets>
    <sheet name="Data" sheetId="1" r:id="rId1"/>
    <sheet name="Report" sheetId="2" r:id="rId2"/>
    <sheet name="Keys" sheetId="3" r:id="rId3"/>
  </sheets>
  <x:definedNames xmlns:x="http://schemas.openxmlformats.org/spreadsheetml/2006/main">
    <x:definedName name="Calc">SUM(Data!$A$1:$A$6)*2</x:definedName>
    <x:definedName name="Nested">Calc/2+1</x:definedName>
    <x:definedName name="EmptyKey">'Keys'!$H$1</x:definedName>
  </x:definedNames>
</workbook>
</file>

<file path=xl/sharedStrings.xml><?xml version="1.0" encoding="utf-8"?>
<x:sst xmlns:x="http://schemas.openxmlformats.org/spreadsheetml/2006/main" count="127" uniqueCount="121">
  <x:si>
    <x:t>ten</x:t>
  </x:si>
  <x:si>
    <x:t>Alpha</x:t>
  </x:si>
  <x:si>
    <x:t>fifty</x:t>
  </x:si>
  <x:si>
    <x:t>N</x:t>
  </x:si>
  <x:si>
    <x:t>first20</x:t>
  </x:si>
  <x:si>
    <x:t>Alpine</x:t>
  </x:si>
  <x:si>
    <x:t>forty</x:t>
  </x:si>
  <x:si>
    <x:t>1</x:t>
  </x:si>
  <x:si>
    <x:t>T</x:t>
  </x:si>
  <x:si>
    <x:t>last20</x:t>
  </x:si>
  <x:si>
    <x:t>Beta</x:t>
  </x:si>
  <x:si>
    <x:t>thirty</x:t>
  </x:si>
  <x:si>
    <x:t>B</x:t>
  </x:si>
  <x:si>
    <x:t>B?ta</x:t>
  </x:si>
  <x:si>
    <x:t>F</x:t>
  </x:si>
  <x:si>
    <x:t>B*ta</x:t>
  </x:si>
  <x:si>
    <x:t>empty</x:t>
  </x:si>
  <x:si>
    <x:t>~tail</x:t>
  </x:si>
  <x:si>
    <x:t>E</x:t>
  </x:si>
  <x:si>
    <x:t>0</x:t>
  </x:si>
  <x:si>
    <x:t>MATCH(20,Data!A1:A6)</x:t>
  </x:si>
  <x:si>
    <x:t>MATCH(20,Data!A1:A6,0)</x:t>
  </x:si>
  <x:si>
    <x:t>MATCH(21,Data!A1:A6,1)</x:t>
  </x:si>
  <x:si>
    <x:t>MATCH(21,Data!D1:D6,-1)</x:t>
  </x:si>
  <x:si>
    <x:t>VLOOKUP(20,Data!A1:B6,2)</x:t>
  </x:si>
  <x:si>
    <x:t>VLOOKUP(21,Data!A1:B6,2,TRUE)</x:t>
  </x:si>
  <x:si>
    <x:t>VLOOKUP("Al*",Data!C1:G6,5,FALSE)</x:t>
  </x:si>
  <x:si>
    <x:t>MATCH("B~?ta",Data!C1:C6,0)</x:t>
  </x:si>
  <x:si>
    <x:t>MATCH("B~*ta",Data!C1:C6,0)</x:t>
  </x:si>
  <x:si>
    <x:t>XMATCH("Al*",Data!C1:C6,2)</x:t>
  </x:si>
  <x:si>
    <x:t>XMATCH("Al*",Data!C1:C6,2,-1)</x:t>
  </x:si>
  <x:si>
    <x:t>XLOOKUP("B~?ta",Data!C1:C6,Data!B1:B6,,2)</x:t>
  </x:si>
  <x:si>
    <x:t>XMATCH(20,Data!A1:A6,0,2)</x:t>
  </x:si>
  <x:si>
    <x:t>XMATCH(20,Data!D1:D6,0,-2)</x:t>
  </x:si>
  <x:si>
    <x:t>XMATCH(21,Data!A1:A6,-1,2)</x:t>
  </x:si>
  <x:si>
    <x:t>XMATCH(21,Data!D1:D6,1,-2)</x:t>
  </x:si>
  <x:si>
    <x:t>XLOOKUP(21,Data!A1:A6,Data!B1:B6,,-1,2)</x:t>
  </x:si>
  <x:si>
    <x:t>XLOOKUP(21,Data!D1:D6,Data!E1:E6,,1,-2)</x:t>
  </x:si>
  <x:si>
    <x:t>XMATCH("Al*",Data!C1:C6,2,2)</x:t>
  </x:si>
  <x:si>
    <x:t>MATCH(1,Data!F1:F6,0)</x:t>
  </x:si>
  <x:si>
    <x:t>MATCH("1",Data!F1:F6,0)</x:t>
  </x:si>
  <x:si>
    <x:t>MATCH(TRUE,Data!F1:F6,0)</x:t>
  </x:si>
  <x:si>
    <x:t>MATCH(FALSE,Data!F1:F6,0)</x:t>
  </x:si>
  <x:si>
    <x:t>XLOOKUP(1,Data!F1:F6,Data!G1:G6)</x:t>
  </x:si>
  <x:si>
    <x:t>XLOOKUP("1",Data!F1:F6,Data!G1:G6)</x:t>
  </x:si>
  <x:si>
    <x:t>XLOOKUP(TRUE,Data!F1:F6,Data!G1:G6)</x:t>
  </x:si>
  <x:si>
    <x:t>MATCH(30,{10,20,30},0)</x:t>
  </x:si>
  <x:si>
    <x:t>SUM(INDEX(Data!A1:B6,0,1))</x:t>
  </x:si>
  <x:si>
    <x:t>SUM(INDEX(Data!A1:B6,3,0))</x:t>
  </x:si>
  <x:si>
    <x:t>INDEX(Data!A1:B6,0,1)</x:t>
  </x:si>
  <x:si>
    <x:t>INDEX(Data!A1:B6,3,0)</x:t>
  </x:si>
  <x:si>
    <x:t>INDEX({10,20;30,40},0,2)</x:t>
  </x:si>
  <x:si>
    <x:t>XLOOKUP(20,Data!A1:A6,Data!B1:C6)</x:t>
  </x:si>
  <x:si>
    <x:t>IFERROR(SUM(INDEX(Data!A1:B6,0,NA())),99)</x:t>
  </x:si>
  <x:si>
    <x:t>Calc+Nested</x:t>
  </x:si>
  <x:si>
    <x:t>VLOOKUP(21,Data!A1:B6,2,)</x:t>
  </x:si>
  <x:si>
    <x:t>MATCH(20,Data!A1:A6,)</x:t>
  </x:si>
  <x:si>
    <x:t>VLOOKUP(21,Data!A1:B6,2,0.00000001)</x:t>
  </x:si>
  <x:si>
    <x:t>INDEX(Data!A1:B6,3)</x:t>
  </x:si>
  <x:si>
    <x:t>INDEX(Data!A1:B6,3,)</x:t>
  </x:si>
  <x:si>
    <x:t>INDEX(Data!A1:B6,,2)</x:t>
  </x:si>
  <x:si>
    <x:t>INDEX(Data!A1:B6,1.9,1)</x:t>
  </x:si>
  <x:si>
    <x:t>INDEX(Data!A1:B6,"2",1)</x:t>
  </x:si>
  <x:si>
    <x:t>INDEX(Data!A1:B6,TRUE,1)</x:t>
  </x:si>
  <x:si>
    <x:t>VLOOKUP(20,Data!A1:B6,2.9,FALSE)</x:t>
  </x:si>
  <x:si>
    <x:t>SUM(INDEX((Data!A1:A2,Data!A4:A6),0,1,2))</x:t>
  </x:si>
  <x:si>
    <x:t>MATCH("A",{1,2,3},1)</x:t>
  </x:si>
  <x:si>
    <x:t>MATCH(0,{"A","B"},1)</x:t>
  </x:si>
  <x:si>
    <x:t>INDEX(Data!F1:F6,5)</x:t>
  </x:si>
  <x:si>
    <x:t>ISBLANK(INDEX(Data!F1:F6,5))</x:t>
  </x:si>
  <x:si>
    <x:t>INDEX(Data!F1:F6,5)=""</x:t>
  </x:si>
  <x:si>
    <x:t>INDEX(Data!F1:F6,5)&amp;"x"</x:t>
  </x:si>
  <x:si>
    <x:t>LEN(INDEX(Data!F1:F6,5))</x:t>
  </x:si>
  <x:si>
    <x:t>ISNUMBER(INDEX(Data!F1:F6,5))</x:t>
  </x:si>
  <x:si>
    <x:t>ISBLANK(OFFSET(Data!F1,4,0))</x:t>
  </x:si>
  <x:si>
    <x:t>OFFSET(Data!F1,4,0)=""</x:t>
  </x:si>
  <x:si>
    <x:t>OFFSET(Data!F1,4,0)&amp;"x"</x:t>
  </x:si>
  <x:si>
    <x:t>ISBLANK(XLOOKUP(40,Data!A1:A6,Data!F1:F6))</x:t>
  </x:si>
  <x:si>
    <x:t>XLOOKUP(40,Data!A1:A6,Data!F1:F6)=""</x:t>
  </x:si>
  <x:si>
    <x:t>XLOOKUP(40,Data!A1:A6,Data!F1:F6)&amp;"x"</x:t>
  </x:si>
  <x:si>
    <x:t>ISBLANK(VLOOKUP(40,Data!A1:F6,6,FALSE))</x:t>
  </x:si>
  <x:si>
    <x:t>VLOOKUP(40,Data!A1:F6,6,FALSE)=""</x:t>
  </x:si>
  <x:si>
    <x:t>VLOOKUP(40,Data!A1:F6,6,FALSE)&amp;"x"</x:t>
  </x:si>
  <x:si>
    <x:t>ISBLANK(IFERROR(INDEX(Data!F1:F6,5),77))</x:t>
  </x:si>
  <x:si>
    <x:t>IFERROR(INDEX(Data!F1:F6,5),77)&amp;"x"</x:t>
  </x:si>
  <x:si>
    <x:t>ISBLANK(IF(TRUE,INDEX(Data!F1:F6,5),77))</x:t>
  </x:si>
  <x:si>
    <x:t>IF(TRUE,INDEX(Data!F1:F6,5),77)&amp;"x"</x:t>
  </x:si>
  <x:si>
    <x:t>ISBLANK(CHOOSE(1,INDEX(Data!F1:F6,5)))</x:t>
  </x:si>
  <x:si>
    <x:t>COUNT(INDEX(Data!F1:F6,5))</x:t>
  </x:si>
  <x:si>
    <x:t>COUNTA(INDEX(Data!F1:F6,5))</x:t>
  </x:si>
  <x:si>
    <x:t>COUNTBLANK(INDEX(Data!F1:F6,5))</x:t>
  </x:si>
  <x:si>
    <x:t>AVERAGE(INDEX(Data!F1:F6,5),2)</x:t>
  </x:si>
  <x:si>
    <x:t>TEXT(INDEX(Data!F1:F6,5),"0")</x:t>
  </x:si>
  <x:si>
    <x:t>VALUE(INDEX(Data!F1:F6,5))</x:t>
  </x:si>
  <x:si>
    <x:t>CHOOSE(2,10,,20)</x:t>
  </x:si>
  <x:si>
    <x:t>IF(TRUE,,7)</x:t>
  </x:si>
  <x:si>
    <x:t>MATCH(2,{1,#N/A,2},0)</x:t>
  </x:si>
  <x:si>
    <x:t>XLOOKUP(2,{1,#N/A,2},{10,20,30})</x:t>
  </x:si>
  <x:si>
    <x:t>RANDBETWEEN(INDEX(Data!F1:F6,5),0)</x:t>
  </x:si>
  <x:si>
    <x:t>IPMT(INDEX(Data!F1:F6,5),1,2,100)</x:t>
  </x:si>
  <x:si>
    <x:t>PPMT(INDEX(Data!F1:F6,5),1,2,100)</x:t>
  </x:si>
  <x:si>
    <x:t>MATCH(Keys!H1,Keys!A1:A3,0)</x:t>
  </x:si>
  <x:si>
    <x:t>XMATCH(Keys!H1,Keys!A1:A3)</x:t>
  </x:si>
  <x:si>
    <x:t>VLOOKUP(Keys!H1,Keys!A1:B3,2,FALSE)</x:t>
  </x:si>
  <x:si>
    <x:t>HLOOKUP(Keys!H1,Keys!D1:F2,2,FALSE)</x:t>
  </x:si>
  <x:si>
    <x:t>XLOOKUP(Keys!H1,Keys!A1:A3,Keys!B1:B3)</x:t>
  </x:si>
  <x:si>
    <x:t>IFERROR(MATCH(Keys!H1,Keys!A1:A2,0),77)</x:t>
  </x:si>
  <x:si>
    <x:t>IFERROR(XMATCH(Keys!H1,Keys!A1:A2),77)</x:t>
  </x:si>
  <x:si>
    <x:t>IFERROR(VLOOKUP(Keys!H1,Keys!A1:B2,2,FALSE),77)</x:t>
  </x:si>
  <x:si>
    <x:t>IFERROR(HLOOKUP(Keys!H1,Keys!D1:E2,2,FALSE),77)</x:t>
  </x:si>
  <x:si>
    <x:t>IFERROR(XLOOKUP(Keys!H1,Keys!A1:A2,Keys!B1:B2),77)</x:t>
  </x:si>
  <x:si>
    <x:t>XMATCH(Keys!H1,Keys!J1:J3,0,2)</x:t>
  </x:si>
  <x:si>
    <x:t>XMATCH(Keys!H1,Keys!L1:L3,0,-2)</x:t>
  </x:si>
  <x:si>
    <x:t>XLOOKUP(Keys!H1,Keys!J1:J3,Keys!B1:B3,,0,2)</x:t>
  </x:si>
  <x:si>
    <x:t>XLOOKUP(Keys!H1,Keys!L1:L3,Keys!B1:B3,,0,-2)</x:t>
  </x:si>
  <x:si>
    <x:t>MATCH(0,Keys!A1:A5,0)</x:t>
  </x:si>
  <x:si>
    <x:t>MATCH("0",Keys!A1:A5,0)</x:t>
  </x:si>
  <x:si>
    <x:t>MATCH(FALSE,Keys!A1:A5,0)</x:t>
  </x:si>
  <x:si>
    <x:t>MATCH(INDEX(Keys!H1:H2,1),Keys!A1:A3,0)</x:t>
  </x:si>
  <x:si>
    <x:t>MATCH(OFFSET(Keys!H1,0,0),Keys!A1:A3,0)</x:t>
  </x:si>
  <x:si>
    <x:t>MATCH(EmptyKey,Keys!A1:A3,0)</x:t>
  </x:si>
</x:sst>
</file>

<file path=xl/styles.xml><?xml version="1.0" encoding="utf-8"?>
<x:styleSheet xmlns:x="http://schemas.openxmlformats.org/spreadsheetml/2006/main"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G6"/>
  <x:sheetViews xmlns:x="http://schemas.openxmlformats.org/spreadsheetml/2006/main">
    <x:sheetView workbookViewId="0">
      <x:selection activeCell="A1" sqref="A1"/>
    </x:sheetView>
  </x:sheetViews>
  <sheetData>
    <row r="1">
      <c r="A1" t="n">
        <v>10</v>
      </c>
      <c r="B1" t="s">
        <v>0</v>
      </c>
      <c r="C1" t="s">
        <v>1</v>
      </c>
      <c r="D1" t="n">
        <v>50</v>
      </c>
      <c r="E1" t="s">
        <v>2</v>
      </c>
      <c r="F1" t="n">
        <v>1</v>
      </c>
      <c r="G1" t="s">
        <v>3</v>
      </c>
    </row>
    <row r="2">
      <c r="A2" t="n">
        <v>20</v>
      </c>
      <c r="B2" t="s">
        <v>4</v>
      </c>
      <c r="C2" t="s">
        <v>5</v>
      </c>
      <c r="D2" t="n">
        <v>40</v>
      </c>
      <c r="E2" t="s">
        <v>6</v>
      </c>
      <c r="F2" t="s">
        <v>7</v>
      </c>
      <c r="G2" t="s">
        <v>8</v>
      </c>
    </row>
    <row r="3">
      <c r="A3" t="n">
        <v>20</v>
      </c>
      <c r="B3" t="s">
        <v>9</v>
      </c>
      <c r="C3" t="s">
        <v>10</v>
      </c>
      <c r="D3" t="n">
        <v>30</v>
      </c>
      <c r="E3" t="s">
        <v>11</v>
      </c>
      <c r="F3" t="b">
        <v>1</v>
      </c>
      <c r="G3" t="s">
        <v>12</v>
      </c>
    </row>
    <row r="4">
      <c r="A4" t="n">
        <v>30</v>
      </c>
      <c r="B4" t="s">
        <v>11</v>
      </c>
      <c r="C4" t="s">
        <v>13</v>
      </c>
      <c r="D4" t="n">
        <v>20</v>
      </c>
      <c r="E4" t="s">
        <v>4</v>
      </c>
      <c r="F4" t="b">
        <v>0</v>
      </c>
      <c r="G4" t="s">
        <v>14</v>
      </c>
    </row>
    <row r="5">
      <c r="A5" t="n">
        <v>40</v>
      </c>
      <c r="B5" t="s">
        <v>6</v>
      </c>
      <c r="C5" t="s">
        <v>15</v>
      </c>
      <c r="D5" t="n">
        <v>20</v>
      </c>
      <c r="E5" t="s">
        <v>9</v>
      </c>
      <c r="G5" t="s">
        <v>16</v>
      </c>
    </row>
    <row r="6">
      <c r="A6" t="n">
        <v>50</v>
      </c>
      <c r="B6" t="s">
        <v>2</v>
      </c>
      <c r="C6" t="s">
        <v>17</v>
      </c>
      <c r="D6" t="n">
        <v>10</v>
      </c>
      <c r="E6" t="s">
        <v>0</v>
      </c>
      <c r="F6">
        <x:f xmlns:x="http://schemas.openxmlformats.org/spreadsheetml/2006/main" ca="1">NA()</x:f>
      </c>
      <c r="G6" t="s">
        <v>18</v>
      </c>
    </row>
  </sheetData>
</worksheet>
</file>

<file path=xl/worksheets/sheet2.xml><?xml version="1.0" encoding="utf-8"?>
<worksheet xmlns="http://schemas.openxmlformats.org/spreadsheetml/2006/main">
  <dimension ref="A1:D1001"/>
  <x:sheetViews xmlns:x="http://schemas.openxmlformats.org/spreadsheetml/2006/main">
    <x:sheetView workbookViewId="0">
      <x:selection activeCell="A1" sqref="A1"/>
    </x:sheetView>
  </x:sheetViews>
  <sheetData>
    <row r="1">
      <c r="A1">
        <f>MATCH(20,Data!A1:A6)</f>
      </c>
      <c r="D1" t="s">
        <v>20</v>
      </c>
    </row>
    <row r="11">
      <c r="A11">
        <f>MATCH(20,Data!A1:A6,0)</f>
      </c>
      <c r="D11" t="s">
        <v>21</v>
      </c>
    </row>
    <row r="21">
      <c r="A21">
        <f>MATCH(21,Data!A1:A6,1)</f>
      </c>
      <c r="D21" t="s">
        <v>22</v>
      </c>
    </row>
    <row r="31">
      <c r="A31">
        <f>MATCH(21,Data!D1:D6,-1)</f>
      </c>
      <c r="D31" t="s">
        <v>23</v>
      </c>
    </row>
    <row r="41">
      <c r="A41">
        <f>VLOOKUP(20,Data!A1:B6,2)</f>
      </c>
      <c r="D41" t="s">
        <v>24</v>
      </c>
    </row>
    <row r="51">
      <c r="A51">
        <f>VLOOKUP(21,Data!A1:B6,2,TRUE)</f>
      </c>
      <c r="D51" t="s">
        <v>25</v>
      </c>
    </row>
    <row r="61">
      <c r="A61">
        <f>VLOOKUP("Al*",Data!C1:G6,5,FALSE)</f>
      </c>
      <c r="D61" t="s">
        <v>26</v>
      </c>
    </row>
    <row r="71">
      <c r="A71">
        <f>MATCH("B~?ta",Data!C1:C6,0)</f>
      </c>
      <c r="D71" t="s">
        <v>27</v>
      </c>
    </row>
    <row r="81">
      <c r="A81">
        <f>MATCH("B~*ta",Data!C1:C6,0)</f>
      </c>
      <c r="D81" t="s">
        <v>28</v>
      </c>
    </row>
    <row r="91">
      <c r="A91">
        <f>_xlfn.XMATCH("Al*",Data!C1:C6,2)</f>
      </c>
      <c r="D91" t="s">
        <v>29</v>
      </c>
    </row>
    <row r="101">
      <c r="A101">
        <f>_xlfn.XMATCH("Al*",Data!C1:C6,2,-1)</f>
      </c>
      <c r="D101" t="s">
        <v>30</v>
      </c>
    </row>
    <row r="111">
      <c r="A111">
        <f>_xlfn.XLOOKUP("B~?ta",Data!C1:C6,Data!B1:B6,,2)</f>
      </c>
      <c r="D111" t="s">
        <v>31</v>
      </c>
    </row>
    <row r="121">
      <c r="A121">
        <f>_xlfn.XMATCH(20,Data!A1:A6,0,2)</f>
      </c>
      <c r="D121" t="s">
        <v>32</v>
      </c>
    </row>
    <row r="131">
      <c r="A131">
        <f>_xlfn.XMATCH(20,Data!D1:D6,0,-2)</f>
      </c>
      <c r="D131" t="s">
        <v>33</v>
      </c>
    </row>
    <row r="141">
      <c r="A141">
        <f>_xlfn.XMATCH(21,Data!A1:A6,-1,2)</f>
      </c>
      <c r="D141" t="s">
        <v>34</v>
      </c>
    </row>
    <row r="151">
      <c r="A151">
        <f>_xlfn.XMATCH(21,Data!D1:D6,1,-2)</f>
      </c>
      <c r="D151" t="s">
        <v>35</v>
      </c>
    </row>
    <row r="161">
      <c r="A161">
        <f>_xlfn.XLOOKUP(21,Data!A1:A6,Data!B1:B6,,-1,2)</f>
      </c>
      <c r="D161" t="s">
        <v>36</v>
      </c>
    </row>
    <row r="171">
      <c r="A171">
        <f>_xlfn.XLOOKUP(21,Data!D1:D6,Data!E1:E6,,1,-2)</f>
      </c>
      <c r="D171" t="s">
        <v>37</v>
      </c>
    </row>
    <row r="181">
      <c r="A181">
        <f>_xlfn.XMATCH("Al*",Data!C1:C6,2,2)</f>
      </c>
      <c r="D181" t="s">
        <v>38</v>
      </c>
    </row>
    <row r="191">
      <c r="A191">
        <f>MATCH(1,Data!F1:F6,0)</f>
      </c>
      <c r="D191" t="s">
        <v>39</v>
      </c>
    </row>
    <row r="201">
      <c r="A201">
        <f>MATCH("1",Data!F1:F6,0)</f>
      </c>
      <c r="D201" t="s">
        <v>40</v>
      </c>
    </row>
    <row r="211">
      <c r="A211">
        <f>MATCH(TRUE,Data!F1:F6,0)</f>
      </c>
      <c r="D211" t="s">
        <v>41</v>
      </c>
    </row>
    <row r="221">
      <c r="A221">
        <f>MATCH(FALSE,Data!F1:F6,0)</f>
      </c>
      <c r="D221" t="s">
        <v>42</v>
      </c>
    </row>
    <row r="231">
      <c r="A231">
        <f>_xlfn.XLOOKUP(1,Data!F1:F6,Data!G1:G6)</f>
      </c>
      <c r="D231" t="s">
        <v>43</v>
      </c>
    </row>
    <row r="241">
      <c r="A241">
        <f>_xlfn.XLOOKUP("1",Data!F1:F6,Data!G1:G6)</f>
      </c>
      <c r="D241" t="s">
        <v>44</v>
      </c>
    </row>
    <row r="251">
      <c r="A251">
        <f>_xlfn.XLOOKUP(TRUE,Data!F1:F6,Data!G1:G6)</f>
      </c>
      <c r="D251" t="s">
        <v>45</v>
      </c>
    </row>
    <row r="261">
      <c r="A261">
        <f>MATCH(30,{10,20,30},0)</f>
      </c>
      <c r="D261" t="s">
        <v>46</v>
      </c>
    </row>
    <row r="271">
      <c r="A271">
        <f>SUM(INDEX(Data!A1:B6,0,1))</f>
      </c>
      <c r="D271" t="s">
        <v>47</v>
      </c>
    </row>
    <row r="281">
      <c r="A281">
        <f>SUM(INDEX(Data!A1:B6,3,0))</f>
      </c>
      <c r="D281" t="s">
        <v>48</v>
      </c>
    </row>
    <row r="291">
      <c r="A291">
        <f>INDEX(Data!A1:B6,0,1)</f>
      </c>
      <c r="D291" t="s">
        <v>49</v>
      </c>
    </row>
    <row r="301">
      <c r="A301">
        <f>INDEX(Data!A1:B6,3,0)</f>
      </c>
      <c r="D301" t="s">
        <v>50</v>
      </c>
    </row>
    <row r="311">
      <c r="A311">
        <f>INDEX({10,20;30,40},0,2)</f>
      </c>
      <c r="D311" t="s">
        <v>51</v>
      </c>
    </row>
    <row r="321">
      <c r="A321">
        <f>_xlfn.XLOOKUP(20,Data!A1:A6,Data!B1:C6)</f>
      </c>
      <c r="D321" t="s">
        <v>52</v>
      </c>
    </row>
    <row r="331">
      <c r="A331">
        <f>IFERROR(SUM(INDEX(Data!A1:B6,0,NA())),99)</f>
      </c>
      <c r="D331" t="s">
        <v>53</v>
      </c>
    </row>
    <row r="341">
      <c r="A341">
        <f>Calc+Nested</f>
      </c>
      <c r="D341" t="s">
        <v>54</v>
      </c>
    </row>
    <row r="351">
      <c r="A351">
        <f>VLOOKUP(21,Data!A1:B6,2,)</f>
      </c>
      <c r="D351" t="s">
        <v>55</v>
      </c>
    </row>
    <row r="361">
      <c r="A361">
        <f>MATCH(20,Data!A1:A6,)</f>
      </c>
      <c r="D361" t="s">
        <v>56</v>
      </c>
    </row>
    <row r="371">
      <c r="A371">
        <f>VLOOKUP(21,Data!A1:B6,2,0.00000001)</f>
      </c>
      <c r="D371" t="s">
        <v>57</v>
      </c>
    </row>
    <row r="381">
      <c r="A381">
        <f>INDEX(Data!A1:B6,3)</f>
      </c>
      <c r="D381" t="s">
        <v>58</v>
      </c>
    </row>
    <row r="391">
      <c r="A391">
        <f>INDEX(Data!A1:B6,3,)</f>
      </c>
      <c r="D391" t="s">
        <v>59</v>
      </c>
    </row>
    <row r="401">
      <c r="A401">
        <f>INDEX(Data!A1:B6,,2)</f>
      </c>
      <c r="D401" t="s">
        <v>60</v>
      </c>
    </row>
    <row r="411">
      <c r="A411">
        <f>INDEX(Data!A1:B6,1.9,1)</f>
      </c>
      <c r="D411" t="s">
        <v>61</v>
      </c>
    </row>
    <row r="421">
      <c r="A421">
        <f>INDEX(Data!A1:B6,"2",1)</f>
      </c>
      <c r="D421" t="s">
        <v>62</v>
      </c>
    </row>
    <row r="431">
      <c r="A431">
        <f>INDEX(Data!A1:B6,TRUE,1)</f>
      </c>
      <c r="D431" t="s">
        <v>63</v>
      </c>
    </row>
    <row r="441">
      <c r="A441">
        <f>VLOOKUP(20,Data!A1:B6,2.9,FALSE)</f>
      </c>
      <c r="D441" t="s">
        <v>64</v>
      </c>
    </row>
    <row r="451">
      <c r="A451">
        <f>SUM(INDEX((Data!A1:A2,Data!A4:A6),0,1,2))</f>
      </c>
      <c r="D451" t="s">
        <v>65</v>
      </c>
    </row>
    <row r="461">
      <c r="A461">
        <f>MATCH("A",{1,2,3},1)</f>
      </c>
      <c r="D461" t="s">
        <v>66</v>
      </c>
    </row>
    <row r="471">
      <c r="A471">
        <f>MATCH(0,{"A","B"},1)</f>
      </c>
      <c r="D471" t="s">
        <v>67</v>
      </c>
    </row>
    <row r="481">
      <c r="A481">
        <f>INDEX(Data!F1:F6,5)</f>
      </c>
      <c r="D481" t="s">
        <v>68</v>
      </c>
    </row>
    <row r="491">
      <c r="A491">
        <f>ISBLANK(INDEX(Data!F1:F6,5))</f>
      </c>
      <c r="D491" t="s">
        <v>69</v>
      </c>
    </row>
    <row r="501">
      <c r="A501">
        <f>INDEX(Data!F1:F6,5)=""</f>
      </c>
      <c r="D501" t="s">
        <v>70</v>
      </c>
    </row>
    <row r="511">
      <c r="A511">
        <f>INDEX(Data!F1:F6,5)&amp;"x"</f>
      </c>
      <c r="D511" t="s">
        <v>71</v>
      </c>
    </row>
    <row r="521">
      <c r="A521">
        <f>LEN(INDEX(Data!F1:F6,5))</f>
      </c>
      <c r="D521" t="s">
        <v>72</v>
      </c>
    </row>
    <row r="531">
      <c r="A531">
        <f>ISNUMBER(INDEX(Data!F1:F6,5))</f>
      </c>
      <c r="D531" t="s">
        <v>73</v>
      </c>
    </row>
    <row r="541">
      <c r="A541">
        <f>ISBLANK(OFFSET(Data!F1,4,0))</f>
      </c>
      <c r="D541" t="s">
        <v>74</v>
      </c>
    </row>
    <row r="551">
      <c r="A551">
        <f>OFFSET(Data!F1,4,0)=""</f>
      </c>
      <c r="D551" t="s">
        <v>75</v>
      </c>
    </row>
    <row r="561">
      <c r="A561">
        <f>OFFSET(Data!F1,4,0)&amp;"x"</f>
      </c>
      <c r="D561" t="s">
        <v>76</v>
      </c>
    </row>
    <row r="571">
      <c r="A571">
        <f>ISBLANK(_xlfn.XLOOKUP(40,Data!A1:A6,Data!F1:F6))</f>
      </c>
      <c r="D571" t="s">
        <v>77</v>
      </c>
    </row>
    <row r="581">
      <c r="A581">
        <f>_xlfn.XLOOKUP(40,Data!A1:A6,Data!F1:F6)=""</f>
      </c>
      <c r="D581" t="s">
        <v>78</v>
      </c>
    </row>
    <row r="591">
      <c r="A591">
        <f>_xlfn.XLOOKUP(40,Data!A1:A6,Data!F1:F6)&amp;"x"</f>
      </c>
      <c r="D591" t="s">
        <v>79</v>
      </c>
    </row>
    <row r="601">
      <c r="A601">
        <f>ISBLANK(VLOOKUP(40,Data!A1:F6,6,FALSE))</f>
      </c>
      <c r="D601" t="s">
        <v>80</v>
      </c>
    </row>
    <row r="611">
      <c r="A611">
        <f>VLOOKUP(40,Data!A1:F6,6,FALSE)=""</f>
      </c>
      <c r="D611" t="s">
        <v>81</v>
      </c>
    </row>
    <row r="621">
      <c r="A621">
        <f>VLOOKUP(40,Data!A1:F6,6,FALSE)&amp;"x"</f>
      </c>
      <c r="D621" t="s">
        <v>82</v>
      </c>
    </row>
    <row r="631">
      <c r="A631">
        <f>ISBLANK(IFERROR(INDEX(Data!F1:F6,5),77))</f>
      </c>
      <c r="D631" t="s">
        <v>83</v>
      </c>
    </row>
    <row r="641">
      <c r="A641">
        <f>IFERROR(INDEX(Data!F1:F6,5),77)&amp;"x"</f>
      </c>
      <c r="D641" t="s">
        <v>84</v>
      </c>
    </row>
    <row r="651">
      <c r="A651">
        <f>ISBLANK(IF(TRUE,INDEX(Data!F1:F6,5),77))</f>
      </c>
      <c r="D651" t="s">
        <v>85</v>
      </c>
    </row>
    <row r="661">
      <c r="A661">
        <f>IF(TRUE,INDEX(Data!F1:F6,5),77)&amp;"x"</f>
      </c>
      <c r="D661" t="s">
        <v>86</v>
      </c>
    </row>
    <row r="671">
      <c r="A671">
        <f>ISBLANK(CHOOSE(1,INDEX(Data!F1:F6,5)))</f>
      </c>
      <c r="D671" t="s">
        <v>87</v>
      </c>
    </row>
    <row r="681">
      <c r="A681">
        <f>COUNT(INDEX(Data!F1:F6,5))</f>
      </c>
      <c r="D681" t="s">
        <v>88</v>
      </c>
    </row>
    <row r="691">
      <c r="A691">
        <f>COUNTA(INDEX(Data!F1:F6,5))</f>
      </c>
      <c r="D691" t="s">
        <v>89</v>
      </c>
    </row>
    <row r="701">
      <c r="A701">
        <f>COUNTBLANK(INDEX(Data!F1:F6,5))</f>
      </c>
      <c r="D701" t="s">
        <v>90</v>
      </c>
    </row>
    <row r="711">
      <c r="A711">
        <f>AVERAGE(INDEX(Data!F1:F6,5),2)</f>
      </c>
      <c r="D711" t="s">
        <v>91</v>
      </c>
    </row>
    <row r="721">
      <c r="A721">
        <f>TEXT(INDEX(Data!F1:F6,5),"0")</f>
      </c>
      <c r="D721" t="s">
        <v>92</v>
      </c>
    </row>
    <row r="731">
      <c r="A731">
        <f>VALUE(INDEX(Data!F1:F6,5))</f>
      </c>
      <c r="D731" t="s">
        <v>93</v>
      </c>
    </row>
    <row r="741">
      <c r="A741">
        <f>CHOOSE(2,10,,20)</f>
      </c>
      <c r="D741" t="s">
        <v>94</v>
      </c>
    </row>
    <row r="751">
      <c r="A751">
        <f>IF(TRUE,,7)</f>
      </c>
      <c r="D751" t="s">
        <v>95</v>
      </c>
    </row>
    <row r="761">
      <c r="A761">
        <f>MATCH(2,{1,#N/A,2},0)</f>
      </c>
      <c r="D761" t="s">
        <v>96</v>
      </c>
    </row>
    <row r="771">
      <c r="A771">
        <f>_xlfn.XLOOKUP(2,{1,#N/A,2},{10,20,30})</f>
      </c>
      <c r="D771" t="s">
        <v>97</v>
      </c>
    </row>
    <row r="781">
      <c r="A781">
        <f>RANDBETWEEN(INDEX(Data!F1:F6,5),0)</f>
      </c>
      <c r="D781" t="s">
        <v>98</v>
      </c>
    </row>
    <row r="791">
      <c r="A791">
        <f>IPMT(INDEX(Data!F1:F6,5),1,2,100)</f>
      </c>
      <c r="D791" t="s">
        <v>99</v>
      </c>
    </row>
    <row r="801">
      <c r="A801">
        <f>PPMT(INDEX(Data!F1:F6,5),1,2,100)</f>
      </c>
      <c r="D801" t="s">
        <v>100</v>
      </c>
    </row>
    <row r="811">
      <c r="A811">
        <f>MATCH(Keys!H1,Keys!A1:A3,0)</f>
      </c>
      <c r="D811" t="s">
        <v>101</v>
      </c>
    </row>
    <row r="821">
      <c r="A821">
        <f>_xlfn.XMATCH(Keys!H1,Keys!A1:A3)</f>
      </c>
      <c r="D821" t="s">
        <v>102</v>
      </c>
    </row>
    <row r="831">
      <c r="A831">
        <f>VLOOKUP(Keys!H1,Keys!A1:B3,2,FALSE)</f>
      </c>
      <c r="D831" t="s">
        <v>103</v>
      </c>
    </row>
    <row r="841">
      <c r="A841">
        <f>HLOOKUP(Keys!H1,Keys!D1:F2,2,FALSE)</f>
      </c>
      <c r="D841" t="s">
        <v>104</v>
      </c>
    </row>
    <row r="851">
      <c r="A851">
        <f>_xlfn.XLOOKUP(Keys!H1,Keys!A1:A3,Keys!B1:B3)</f>
      </c>
      <c r="D851" t="s">
        <v>105</v>
      </c>
    </row>
    <row r="861">
      <c r="A861">
        <f>IFERROR(MATCH(Keys!H1,Keys!A1:A2,0),77)</f>
      </c>
      <c r="D861" t="s">
        <v>106</v>
      </c>
    </row>
    <row r="871">
      <c r="A871">
        <f>IFERROR(_xlfn.XMATCH(Keys!H1,Keys!A1:A2),77)</f>
      </c>
      <c r="D871" t="s">
        <v>107</v>
      </c>
    </row>
    <row r="881">
      <c r="A881">
        <f>IFERROR(VLOOKUP(Keys!H1,Keys!A1:B2,2,FALSE),77)</f>
      </c>
      <c r="D881" t="s">
        <v>108</v>
      </c>
    </row>
    <row r="891">
      <c r="A891">
        <f>IFERROR(HLOOKUP(Keys!H1,Keys!D1:E2,2,FALSE),77)</f>
      </c>
      <c r="D891" t="s">
        <v>109</v>
      </c>
    </row>
    <row r="901">
      <c r="A901">
        <f>IFERROR(_xlfn.XLOOKUP(Keys!H1,Keys!A1:A2,Keys!B1:B2),77)</f>
      </c>
      <c r="D901" t="s">
        <v>110</v>
      </c>
    </row>
    <row r="911">
      <c r="A911">
        <f>_xlfn.XMATCH(Keys!H1,Keys!J1:J3,0,2)</f>
      </c>
      <c r="D911" t="s">
        <v>111</v>
      </c>
    </row>
    <row r="921">
      <c r="A921">
        <f>_xlfn.XMATCH(Keys!H1,Keys!L1:L3,0,-2)</f>
      </c>
      <c r="D921" t="s">
        <v>112</v>
      </c>
    </row>
    <row r="931">
      <c r="A931">
        <f>_xlfn.XLOOKUP(Keys!H1,Keys!J1:J3,Keys!B1:B3,,0,2)</f>
      </c>
      <c r="D931" t="s">
        <v>113</v>
      </c>
    </row>
    <row r="941">
      <c r="A941">
        <f>_xlfn.XLOOKUP(Keys!H1,Keys!L1:L3,Keys!B1:B3,,0,-2)</f>
      </c>
      <c r="D941" t="s">
        <v>114</v>
      </c>
    </row>
    <row r="951">
      <c r="A951">
        <f>MATCH(0,Keys!A1:A5,0)</f>
      </c>
      <c r="D951" t="s">
        <v>115</v>
      </c>
    </row>
    <row r="961">
      <c r="A961">
        <f>MATCH("0",Keys!A1:A5,0)</f>
      </c>
      <c r="D961" t="s">
        <v>116</v>
      </c>
    </row>
    <row r="971">
      <c r="A971">
        <f>MATCH(FALSE,Keys!A1:A5,0)</f>
      </c>
      <c r="D971" t="s">
        <v>117</v>
      </c>
    </row>
    <row r="981">
      <c r="A981">
        <f>MATCH(INDEX(Keys!H1:H2,1),Keys!A1:A3,0)</f>
      </c>
      <c r="D981" t="s">
        <v>118</v>
      </c>
    </row>
    <row r="991">
      <c r="A991">
        <f>MATCH(OFFSET(Keys!H1,0,0),Keys!A1:A3,0)</f>
      </c>
      <c r="D991" t="s">
        <v>119</v>
      </c>
    </row>
    <row r="1001">
      <c r="A1001">
        <f>MATCH(EmptyKey,Keys!A1:A3,0)</f>
      </c>
      <c r="D1001" t="s">
        <v>120</v>
      </c>
    </row>
  </sheetData>
</worksheet>
</file>

<file path=xl/worksheets/sheet3.xml><?xml version="1.0" encoding="utf-8"?>
<worksheet xmlns="http://schemas.openxmlformats.org/spreadsheetml/2006/main">
  <dimension ref="A1:L5"/>
  <x:sheetViews xmlns:x="http://schemas.openxmlformats.org/spreadsheetml/2006/main">
    <x:sheetView workbookViewId="0">
      <x:selection activeCell="A1" sqref="A1"/>
    </x:sheetView>
  </x:sheetViews>
  <sheetData>
    <row r="1">
      <c r="B1" t="n">
        <v>100</v>
      </c>
      <c r="E1" t="n">
        <v>5</v>
      </c>
      <c r="F1" t="n">
        <v>0</v>
      </c>
      <c r="J1" t="n">
        <v>-5</v>
      </c>
      <c r="L1" t="n">
        <v>5</v>
      </c>
    </row>
    <row r="2">
      <c r="A2" t="n">
        <v>5</v>
      </c>
      <c r="B2" t="n">
        <v>500</v>
      </c>
      <c r="D2" t="n">
        <v>100</v>
      </c>
      <c r="E2" t="n">
        <v>500</v>
      </c>
      <c r="F2" t="n">
        <v>200</v>
      </c>
      <c r="J2" t="n">
        <v>0</v>
      </c>
      <c r="L2" t="n">
        <v>0</v>
      </c>
    </row>
    <row r="3">
      <c r="A3" t="n">
        <v>0</v>
      </c>
      <c r="B3" t="n">
        <v>200</v>
      </c>
      <c r="J3" t="n">
        <v>5</v>
      </c>
      <c r="L3" t="n">
        <v>-5</v>
      </c>
    </row>
    <row r="4">
      <c r="A4" t="s">
        <v>19</v>
      </c>
    </row>
    <row r="5">
      <c r="A5" t="b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OfficeIMO.Excel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