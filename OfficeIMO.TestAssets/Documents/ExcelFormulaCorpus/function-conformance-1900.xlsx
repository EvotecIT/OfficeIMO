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FormulaCorpus\"/>
    </mc:Choice>
  </mc:AlternateContent>
  <xr:revisionPtr revIDLastSave="0" documentId="8_{0B0F35B2-7790-47E7-A319-F00890BC6952}" xr6:coauthVersionLast="47" xr6:coauthVersionMax="47" xr10:uidLastSave="{00000000-0000-0000-0000-000000000000}"/>
  <bookViews>
    <workbookView xWindow="-110" yWindow="-110" windowWidth="38620" windowHeight="21100" xr2:uid="{CA4F57EA-AF45-4618-97B3-0853BE7CEDFE}"/>
  </bookViews>
  <sheets>
    <sheet name="O'Brien" sheetId="3" r:id="rId1"/>
    <sheet name="Source Data" sheetId="2" r:id="rId2"/>
    <sheet name="Expressions" sheetId="1" r:id="rId3"/>
  </sheets>
  <definedNames>
    <definedName name="Amounts">'Source Data'!$B$1:$B$4</definedName>
    <definedName name="Chosen">'O''Brien'!$A$1</definedName>
    <definedName name="CommaAlias">CommaConstant</definedName>
    <definedName name="CommaConstant">"Hello, world"</definedName>
    <definedName name="ErrorConstant">#N/A</definedName>
    <definedName name="FlagConstant">TRUE</definedName>
    <definedName name="Keys">'Source Data'!$A$1:$A$4</definedName>
    <definedName name="LocalAmount" localSheetId="2">'Source Data'!$B$2</definedName>
    <definedName name="RefErrorConstant">'O''Brien'!#REF!</definedName>
    <definedName name="RefTextConstant">"contains #REF!"</definedName>
    <definedName name="Shadowed" localSheetId="2">5</definedName>
    <definedName name="Shadowed" localSheetId="0">7</definedName>
    <definedName name="Shadowed">100</definedName>
    <definedName name="TaxAlias">TaxRate</definedName>
    <definedName name="TaxRate">0.2</definedName>
    <definedName name="TextConstant">"say ""hello"""</definedName>
    <definedName name="TextExpression">"a"&amp;"b"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C1" i="1" l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B1" i="1"/>
  <c r="D1" i="2"/>
</calcChain>
</file>

<file path=xl/sharedStrings.xml><?xml version="1.0" encoding="utf-8"?>
<sst xmlns="http://schemas.openxmlformats.org/spreadsheetml/2006/main" count="170" uniqueCount="170">
  <si>
    <t>alpha</t>
  </si>
  <si>
    <t>Beta</t>
  </si>
  <si>
    <t>gamma</t>
  </si>
  <si>
    <t>Delta</t>
  </si>
  <si>
    <t>SUM(Amounts)</t>
  </si>
  <si>
    <t>SUM(Amounts)+ROUND(1.255,2)</t>
  </si>
  <si>
    <t>AVERAGE(Amounts)</t>
  </si>
  <si>
    <t>IF(SUM(Amounts)&gt;50,SUMIF(Keys,"Beta",Amounts),0)</t>
  </si>
  <si>
    <t>COUNTIF(Keys,"*a*")</t>
  </si>
  <si>
    <t>SUMIF(Amounts,"&gt;20",Amounts)</t>
  </si>
  <si>
    <t>SUMIFS(Amounts,Keys,"*a*",Amounts,"&gt;=20")</t>
  </si>
  <si>
    <t>COUNTIFS(Keys,"*a*",Amounts,"&lt;40")</t>
  </si>
  <si>
    <t>AVERAGEIF(Amounts,"&gt;=20",Amounts)</t>
  </si>
  <si>
    <t>MINIFS(Amounts,Keys,"*a*")</t>
  </si>
  <si>
    <t>MAXIFS(Amounts,Keys,"*a*")</t>
  </si>
  <si>
    <t>INDEX(Amounts,MATCH("gamma",Keys,0))</t>
  </si>
  <si>
    <t>VLOOKUP("Beta",'Source Data'!A1:B4,2,FALSE)</t>
  </si>
  <si>
    <t>XLOOKUP("gamma",Keys,Amounts)</t>
  </si>
  <si>
    <t>XLOOKUP("missing",Keys,Amounts,"fallback")</t>
  </si>
  <si>
    <t>IFERROR(VLOOKUP("missing",'Source Data'!A1:B4,2,FALSE),99)</t>
  </si>
  <si>
    <t>ROUND(SUM(Amounts)*TaxRate,2)</t>
  </si>
  <si>
    <t>LocalAmount+Chosen</t>
  </si>
  <si>
    <t>O''Brien'!A1*2</t>
  </si>
  <si>
    <t>SUM('Source Data'!B1:B4)+'O''Brien'!A1</t>
  </si>
  <si>
    <t>CONCAT("total=",SUM(Amounts))</t>
  </si>
  <si>
    <t>TEXTJOIN("|",TRUE,Keys)</t>
  </si>
  <si>
    <t>UPPER(LEFT(INDEX(Keys,2),2))&amp;LOWER(RIGHT(INDEX(Keys,3),2))</t>
  </si>
  <si>
    <t>SUBSTITUTE(TRIM("  Alpha   Beta  ")," ","_")</t>
  </si>
  <si>
    <t>LEN(REPT("ab",3))</t>
  </si>
  <si>
    <t>EXACT(LOWER("ALPHA"),INDEX(Keys,1))</t>
  </si>
  <si>
    <t>FIND("a","Alpha",2)</t>
  </si>
  <si>
    <t>SEARCH("B?ta","Alpha Beta")</t>
  </si>
  <si>
    <t>VALUE("123.5")+1</t>
  </si>
  <si>
    <t>TEXT(1234.5,"0.00")</t>
  </si>
  <si>
    <t>ROUND(-1.255,2)</t>
  </si>
  <si>
    <t>ROUNDUP(-1.251,2)</t>
  </si>
  <si>
    <t>ROUNDDOWN(-1.259,2)</t>
  </si>
  <si>
    <t>TRUNC(-2.9)</t>
  </si>
  <si>
    <t>INT(-2.9)</t>
  </si>
  <si>
    <t>MOD(-7,3)</t>
  </si>
  <si>
    <t>MROUND(7,2)</t>
  </si>
  <si>
    <t>CEILING.MATH(-2.5)</t>
  </si>
  <si>
    <t>FLOOR.MATH(-2.5)</t>
  </si>
  <si>
    <t>SQRT(81)+POWER(2,3)</t>
  </si>
  <si>
    <t>SUMPRODUCT(Amounts,Amounts)</t>
  </si>
  <si>
    <t>MEDIAN(Amounts)</t>
  </si>
  <si>
    <t>LARGE(Amounts,2)</t>
  </si>
  <si>
    <t>PERCENTILE.INC(Amounts,0.25)</t>
  </si>
  <si>
    <t>STDEV.P(Amounts)</t>
  </si>
  <si>
    <t>ROUND(PMT(0.01,12,1000),2)</t>
  </si>
  <si>
    <t>ROUND(FV(0.01,12,-100),2)</t>
  </si>
  <si>
    <t>IF(AND(1&lt;2,OR(FALSE,TRUE)),"yes","no")</t>
  </si>
  <si>
    <t>IFS(1&gt;2,"bad",2=2,"ok")</t>
  </si>
  <si>
    <t>SWITCH(2,1,"one",2,"two","other")</t>
  </si>
  <si>
    <t>CHOOSE(2,"one","two","three")</t>
  </si>
  <si>
    <t>IFERROR(1/0,"caught")</t>
  </si>
  <si>
    <t>IFNA(NA(),"missing")</t>
  </si>
  <si>
    <t>ISERROR(NA())</t>
  </si>
  <si>
    <t>ISNA(NA())</t>
  </si>
  <si>
    <t>IFERROR(SUM('Source Data'!D1),77)</t>
  </si>
  <si>
    <t>COUNT('Source Data'!D1)</t>
  </si>
  <si>
    <t>COUNTA('Source Data'!D1)</t>
  </si>
  <si>
    <t>ISNUMBER(SUM(Amounts))</t>
  </si>
  <si>
    <t>ISLOGICAL(1=1)</t>
  </si>
  <si>
    <t>ISFORMULA('Source Data'!D1)</t>
  </si>
  <si>
    <t>DATE(2024,2,29)</t>
  </si>
  <si>
    <t>DATE(2024,2,29)+1</t>
  </si>
  <si>
    <t>YEAR(DATE(2024,2,29))</t>
  </si>
  <si>
    <t>MONTH(DATE(2024,2,29))</t>
  </si>
  <si>
    <t>DAY(DATE(2024,2,29))</t>
  </si>
  <si>
    <t>DATE(1900,2,28)</t>
  </si>
  <si>
    <t>DATE(1900,2,29)</t>
  </si>
  <si>
    <t>DATE(1900,3,1)</t>
  </si>
  <si>
    <t>DATE(1904,1,1)</t>
  </si>
  <si>
    <t>YEAR(60)</t>
  </si>
  <si>
    <t>MONTH(60)</t>
  </si>
  <si>
    <t>DAY(60)</t>
  </si>
  <si>
    <t>TIME(12,30,15)</t>
  </si>
  <si>
    <t>HOUR(TIME(12,30,15))</t>
  </si>
  <si>
    <t>MINUTE(TIME(12,30,15))</t>
  </si>
  <si>
    <t>SECOND(TIME(12,30,15))</t>
  </si>
  <si>
    <t>EDATE(DATE(2024,1,31),1)</t>
  </si>
  <si>
    <t>EOMONTH(DATE(2024,1,15),1)</t>
  </si>
  <si>
    <t>NETWORKDAYS(DATE(2024,1,1),DATE(2024,1,5))</t>
  </si>
  <si>
    <t>WORKDAY(DATE(2024,1,5),1)</t>
  </si>
  <si>
    <t>DATEDIF(DATE(2020,1,1),DATE(2024,1,1),"y")</t>
  </si>
  <si>
    <t>YEARFRAC(DATE(2024,1,1),DATE(2025,1,1),3)</t>
  </si>
  <si>
    <t>ISNUMBER(TRUE)</t>
  </si>
  <si>
    <t>ISNUMBER(1=1)</t>
  </si>
  <si>
    <t>ISTEXT(NA())</t>
  </si>
  <si>
    <t>ISLOGICAL("true")</t>
  </si>
  <si>
    <t>ROUND(2.675,2)</t>
  </si>
  <si>
    <t>ROUND(1.005,2)</t>
  </si>
  <si>
    <t>ROUND(-1.005,2)</t>
  </si>
  <si>
    <t>WEEKDAY(1)</t>
  </si>
  <si>
    <t>WEEKDAY(59)</t>
  </si>
  <si>
    <t>WEEKDAY(60)</t>
  </si>
  <si>
    <t>WEEKDAY(61)</t>
  </si>
  <si>
    <t>DAY(0)</t>
  </si>
  <si>
    <t>MONTH(0)</t>
  </si>
  <si>
    <t>YEAR(0)</t>
  </si>
  <si>
    <t>DATE(1900,1,0)</t>
  </si>
  <si>
    <t>DATE(1900,3,0)</t>
  </si>
  <si>
    <t>DATE(1900,2,30)</t>
  </si>
  <si>
    <t>SEARCH("B~?ta","B?ta")</t>
  </si>
  <si>
    <t>SEARCH("a*","xxabc")</t>
  </si>
  <si>
    <t>SEARCH("*","Alpha")</t>
  </si>
  <si>
    <t>SEARCH("~*","x*y")</t>
  </si>
  <si>
    <t>COUNTIF(Keys,"~*")</t>
  </si>
  <si>
    <t>DATE(2024.9,2.9,29.9)</t>
  </si>
  <si>
    <t>ROUND(1E30,-2)</t>
  </si>
  <si>
    <t>TaxAlias*100</t>
  </si>
  <si>
    <t>TextConstant&amp;"!"</t>
  </si>
  <si>
    <t>ISLOGICAL(FlagConstant)</t>
  </si>
  <si>
    <t>IFNA(ErrorConstant,"named missing")</t>
  </si>
  <si>
    <t>Shadowed</t>
  </si>
  <si>
    <t>O''Brien'!Shadowed</t>
  </si>
  <si>
    <t>CommaConstant</t>
  </si>
  <si>
    <t>RefTextConstant</t>
  </si>
  <si>
    <t>CommaAlias</t>
  </si>
  <si>
    <t>ISERROR(RefErrorConstant)</t>
  </si>
  <si>
    <t>DAYS(60,59)</t>
  </si>
  <si>
    <t>DAYS(61,59)</t>
  </si>
  <si>
    <t>DAYS(59.9,60.1)</t>
  </si>
  <si>
    <t>DATEDIF(59,61,"d")</t>
  </si>
  <si>
    <t>YEARFRAC(59,61,0)</t>
  </si>
  <si>
    <t>YEARFRAC(59,61,1)</t>
  </si>
  <si>
    <t>YEARFRAC(59,61,2)</t>
  </si>
  <si>
    <t>YEARFRAC(59,61,3)</t>
  </si>
  <si>
    <t>YEARFRAC(59,61,4)</t>
  </si>
  <si>
    <t>NETWORKDAYS(58,62)</t>
  </si>
  <si>
    <t>WORKDAY(59,1)</t>
  </si>
  <si>
    <t>WORKDAY.INTL(59,1,1)</t>
  </si>
  <si>
    <t>EDATE(60,1)</t>
  </si>
  <si>
    <t>EOMONTH(59,0)</t>
  </si>
  <si>
    <t>DAYS360(59,61)</t>
  </si>
  <si>
    <t>DATEDIF(59,61,"md")</t>
  </si>
  <si>
    <t>EOMONTH(60,0)</t>
  </si>
  <si>
    <t>EDATE(59,0)</t>
  </si>
  <si>
    <t>EDATE(60,0)</t>
  </si>
  <si>
    <t>EDATE(31,1)</t>
  </si>
  <si>
    <t>NETWORKDAYS(59,61,60)</t>
  </si>
  <si>
    <t>WORKDAY(59,1,60)</t>
  </si>
  <si>
    <t>DATEDIF(59,61,"yd")</t>
  </si>
  <si>
    <t>DATEDIF(60,425,"y")</t>
  </si>
  <si>
    <t>DATEDIF(60,425,"m")</t>
  </si>
  <si>
    <t>DATEDIF(60,425,"md")</t>
  </si>
  <si>
    <t>YEARFRAC(59,60,1)</t>
  </si>
  <si>
    <t>YEARFRAC(60,61,1)</t>
  </si>
  <si>
    <t>YEARFRAC(DATE(2023,2,28),DATE(2023,3,1),4)</t>
  </si>
  <si>
    <t>YEARFRAC(DATE(2024,2,28),DATE(2024,3,1),4)</t>
  </si>
  <si>
    <t>YEARFRAC(DATE(2024,2,29),DATE(2024,3,2),4)</t>
  </si>
  <si>
    <t>HOUR(0.999999)</t>
  </si>
  <si>
    <t>MINUTE(0.999999)</t>
  </si>
  <si>
    <t>SECOND(0.999999)</t>
  </si>
  <si>
    <t>DATEDIF(60,60,"yd")</t>
  </si>
  <si>
    <t>DATEDIF(60,59,"d")</t>
  </si>
  <si>
    <t>WEEKNUM(7)</t>
  </si>
  <si>
    <t>WEEKNUM(60)</t>
  </si>
  <si>
    <t>WEEKNUM(61)</t>
  </si>
  <si>
    <t>WEEKNUM(7,2)</t>
  </si>
  <si>
    <t>ISOWEEKNUM(7)</t>
  </si>
  <si>
    <t>ISOWEEKNUM(60)</t>
  </si>
  <si>
    <t>ISOWEEKNUM(61)</t>
  </si>
  <si>
    <t>TEXT(60,"[$-409]mm-dd")</t>
  </si>
  <si>
    <t>TEXT(59,"[$-409]dddd")</t>
  </si>
  <si>
    <t>TEXT(0,"[$-409]mm-dd")</t>
  </si>
  <si>
    <t>YEARFRAC(60,59,1)</t>
  </si>
  <si>
    <t>DATEDIF(60,425,"yd")</t>
  </si>
  <si>
    <t>NETWORKDAYS(59.9,59.1)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</si>
</sst>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zł&quot;;[Red]\-#,##0.00\ &quot;zł&quot;"/>
  </numFmts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8" fontId="0" fillId="0" borderId="0" xfId="0" applyNumberFormat="1"/>
    <xf numFmtId="14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36E78-409C-4993-B152-4FC774B02936}">
  <dimension ref="A1"/>
  <sheetViews>
    <sheetView tabSelected="1" workbookViewId="0"/>
  </sheetViews>
  <sheetFormatPr defaultRowHeight="14.5" x14ac:dyDescent="0.35"/>
  <sheetData>
    <row r="1" spans="1:1" x14ac:dyDescent="0.35">
      <c r="A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11D58-CDC9-4518-A371-BC361FA58AD3}">
  <dimension ref="A1:D4"/>
  <sheetViews>
    <sheetView workbookViewId="0"/>
  </sheetViews>
  <sheetFormatPr defaultRowHeight="14.5" x14ac:dyDescent="0.35"/>
  <sheetData>
    <row r="1" spans="1:4" x14ac:dyDescent="0.35">
      <c r="A1" t="s">
        <v>0</v>
      </c>
      <c r="B1">
        <v>10</v>
      </c>
      <c r="D1" t="e">
        <f>NA()</f>
        <v>#N/A</v>
      </c>
    </row>
    <row r="2" spans="1:4" x14ac:dyDescent="0.35">
      <c r="A2" t="s">
        <v>1</v>
      </c>
      <c r="B2">
        <v>20</v>
      </c>
    </row>
    <row r="3" spans="1:4" x14ac:dyDescent="0.35">
      <c r="A3" t="s">
        <v>2</v>
      </c>
      <c r="B3">
        <v>30</v>
      </c>
    </row>
    <row r="4" spans="1:4" x14ac:dyDescent="0.35">
      <c r="A4" t="s">
        <v>3</v>
      </c>
      <c r="B4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2A7D7-C2BE-47D3-A068-057358B00B29}">
  <dimension ref="A1:C166"/>
  <sheetViews>
    <sheetView workbookViewId="0"/>
  </sheetViews>
  <sheetFormatPr defaultRowHeight="14.5" x14ac:dyDescent="0.35"/>
  <sheetData>
    <row r="1" spans="1:3" x14ac:dyDescent="0.35">
      <c r="A1" t="s">
        <v>4</v>
      </c>
      <c r="B1">
        <f>SUM(Amounts)</f>
        <v>100</v>
      </c>
      <c r="C1" t="str">
        <f>_xlfn.CONCAT(TextExpression)</f>
        <v>ab</v>
      </c>
    </row>
    <row r="2" spans="1:3" x14ac:dyDescent="0.35">
      <c r="A2" t="s">
        <v>5</v>
      </c>
      <c r="B2">
        <f>SUM(Amounts)+ROUND(1.255,2)</f>
        <v>101.26</v>
      </c>
    </row>
    <row r="3" spans="1:3" x14ac:dyDescent="0.35">
      <c r="A3" t="s">
        <v>6</v>
      </c>
      <c r="B3">
        <f>AVERAGE(Amounts)</f>
        <v>25</v>
      </c>
    </row>
    <row r="4" spans="1:3" x14ac:dyDescent="0.35">
      <c r="A4" t="s">
        <v>7</v>
      </c>
      <c r="B4">
        <f>IF(SUM(Amounts)&gt;50,SUMIF(Keys,"Beta",Amounts),0)</f>
        <v>20</v>
      </c>
    </row>
    <row r="5" spans="1:3" x14ac:dyDescent="0.35">
      <c r="A5" t="s">
        <v>8</v>
      </c>
      <c r="B5">
        <f>COUNTIF(Keys,"*a*")</f>
        <v>4</v>
      </c>
    </row>
    <row r="6" spans="1:3" x14ac:dyDescent="0.35">
      <c r="A6" t="s">
        <v>9</v>
      </c>
      <c r="B6">
        <f>SUMIF(Amounts,"&gt;20",Amounts)</f>
        <v>70</v>
      </c>
    </row>
    <row r="7" spans="1:3" x14ac:dyDescent="0.35">
      <c r="A7" t="s">
        <v>10</v>
      </c>
      <c r="B7">
        <f>SUMIFS(Amounts,Keys,"*a*",Amounts,"&gt;=20")</f>
        <v>90</v>
      </c>
    </row>
    <row r="8" spans="1:3" x14ac:dyDescent="0.35">
      <c r="A8" t="s">
        <v>11</v>
      </c>
      <c r="B8">
        <f>COUNTIFS(Keys,"*a*",Amounts,"&lt;40")</f>
        <v>3</v>
      </c>
    </row>
    <row r="9" spans="1:3" x14ac:dyDescent="0.35">
      <c r="A9" t="s">
        <v>12</v>
      </c>
      <c r="B9">
        <f>AVERAGEIF(Amounts,"&gt;=20",Amounts)</f>
        <v>30</v>
      </c>
    </row>
    <row r="10" spans="1:3" x14ac:dyDescent="0.35">
      <c r="A10" t="s">
        <v>13</v>
      </c>
      <c r="B10">
        <f>_xlfn.MINIFS(Amounts,Keys,"*a*")</f>
        <v>10</v>
      </c>
    </row>
    <row r="11" spans="1:3" x14ac:dyDescent="0.35">
      <c r="A11" t="s">
        <v>14</v>
      </c>
      <c r="B11">
        <f>_xlfn.MAXIFS(Amounts,Keys,"*a*")</f>
        <v>40</v>
      </c>
    </row>
    <row r="12" spans="1:3" x14ac:dyDescent="0.35">
      <c r="A12" t="s">
        <v>15</v>
      </c>
      <c r="B12">
        <f>INDEX(Amounts,MATCH("gamma",Keys,0))</f>
        <v>30</v>
      </c>
    </row>
    <row r="13" spans="1:3" x14ac:dyDescent="0.35">
      <c r="A13" t="s">
        <v>16</v>
      </c>
      <c r="B13">
        <f>VLOOKUP("Beta",'Source Data'!A1:B4,2,FALSE)</f>
        <v>20</v>
      </c>
    </row>
    <row r="14" spans="1:3" x14ac:dyDescent="0.35">
      <c r="A14" t="s">
        <v>17</v>
      </c>
      <c r="B14">
        <f>_xlfn.XLOOKUP("gamma",Keys,Amounts)</f>
        <v>30</v>
      </c>
    </row>
    <row r="15" spans="1:3" x14ac:dyDescent="0.35">
      <c r="A15" t="s">
        <v>18</v>
      </c>
      <c r="B15" t="str">
        <f>_xlfn.XLOOKUP("missing",Keys,Amounts,"fallback")</f>
        <v>fallback</v>
      </c>
    </row>
    <row r="16" spans="1:3" x14ac:dyDescent="0.35">
      <c r="A16" t="s">
        <v>19</v>
      </c>
      <c r="B16">
        <f>IFERROR(VLOOKUP("missing",'Source Data'!A1:B4,2,FALSE),99)</f>
        <v>99</v>
      </c>
    </row>
    <row r="17" spans="1:2" x14ac:dyDescent="0.35">
      <c r="A17" t="s">
        <v>20</v>
      </c>
      <c r="B17">
        <f>ROUND(SUM(Amounts)*TaxRate,2)</f>
        <v>20</v>
      </c>
    </row>
    <row r="18" spans="1:2" x14ac:dyDescent="0.35">
      <c r="A18" t="s">
        <v>21</v>
      </c>
      <c r="B18">
        <f>LocalAmount+Chosen</f>
        <v>27</v>
      </c>
    </row>
    <row r="19" spans="1:2" x14ac:dyDescent="0.35">
      <c r="A19" s="1" t="s">
        <v>22</v>
      </c>
      <c r="B19">
        <f>'O''Brien'!A1*2</f>
        <v>14</v>
      </c>
    </row>
    <row r="20" spans="1:2" x14ac:dyDescent="0.35">
      <c r="A20" t="s">
        <v>23</v>
      </c>
      <c r="B20">
        <f>SUM('Source Data'!B1:B4)+'O''Brien'!A1</f>
        <v>107</v>
      </c>
    </row>
    <row r="21" spans="1:2" x14ac:dyDescent="0.35">
      <c r="A21" t="s">
        <v>24</v>
      </c>
      <c r="B21" t="str">
        <f>_xlfn.CONCAT("total=",SUM(Amounts))</f>
        <v>total=100</v>
      </c>
    </row>
    <row r="22" spans="1:2" x14ac:dyDescent="0.35">
      <c r="A22" t="s">
        <v>25</v>
      </c>
      <c r="B22" t="str">
        <f>_xlfn.TEXTJOIN("|",TRUE,Keys)</f>
        <v>alpha|Beta|gamma|Delta</v>
      </c>
    </row>
    <row r="23" spans="1:2" x14ac:dyDescent="0.35">
      <c r="A23" t="s">
        <v>26</v>
      </c>
      <c r="B23" t="str">
        <f>UPPER(LEFT(INDEX(Keys,2),2))&amp;LOWER(RIGHT(INDEX(Keys,3),2))</f>
        <v>BEma</v>
      </c>
    </row>
    <row r="24" spans="1:2" x14ac:dyDescent="0.35">
      <c r="A24" t="s">
        <v>27</v>
      </c>
      <c r="B24" t="str">
        <f>SUBSTITUTE(TRIM("  Alpha   Beta  ")," ","_")</f>
        <v>Alpha_Beta</v>
      </c>
    </row>
    <row r="25" spans="1:2" x14ac:dyDescent="0.35">
      <c r="A25" t="s">
        <v>28</v>
      </c>
      <c r="B25">
        <f>LEN(REPT("ab",3))</f>
        <v>6</v>
      </c>
    </row>
    <row r="26" spans="1:2" x14ac:dyDescent="0.35">
      <c r="A26" t="s">
        <v>29</v>
      </c>
      <c r="B26" t="b">
        <f>EXACT(LOWER("ALPHA"),INDEX(Keys,1))</f>
        <v>1</v>
      </c>
    </row>
    <row r="27" spans="1:2" x14ac:dyDescent="0.35">
      <c r="A27" t="s">
        <v>30</v>
      </c>
      <c r="B27">
        <f>FIND("a","Alpha",2)</f>
        <v>5</v>
      </c>
    </row>
    <row r="28" spans="1:2" x14ac:dyDescent="0.35">
      <c r="A28" t="s">
        <v>31</v>
      </c>
      <c r="B28">
        <f>SEARCH("B?ta","Alpha Beta")</f>
        <v>7</v>
      </c>
    </row>
    <row r="29" spans="1:2" x14ac:dyDescent="0.35">
      <c r="A29" t="s">
        <v>32</v>
      </c>
      <c r="B29">
        <f>VALUE("123.5")+1</f>
        <v>124.5</v>
      </c>
    </row>
    <row r="30" spans="1:2" x14ac:dyDescent="0.35">
      <c r="A30" t="s">
        <v>33</v>
      </c>
      <c r="B30" t="str">
        <f>TEXT(1234.5,"0.00")</f>
        <v>1234.50</v>
      </c>
    </row>
    <row r="31" spans="1:2" x14ac:dyDescent="0.35">
      <c r="A31" t="s">
        <v>34</v>
      </c>
      <c r="B31">
        <f>ROUND(-1.255,2)</f>
        <v>-1.26</v>
      </c>
    </row>
    <row r="32" spans="1:2" x14ac:dyDescent="0.35">
      <c r="A32" t="s">
        <v>35</v>
      </c>
      <c r="B32">
        <f>ROUNDUP(-1.251,2)</f>
        <v>-1.26</v>
      </c>
    </row>
    <row r="33" spans="1:2" x14ac:dyDescent="0.35">
      <c r="A33" t="s">
        <v>36</v>
      </c>
      <c r="B33">
        <f>ROUNDDOWN(-1.259,2)</f>
        <v>-1.25</v>
      </c>
    </row>
    <row r="34" spans="1:2" x14ac:dyDescent="0.35">
      <c r="A34" t="s">
        <v>37</v>
      </c>
      <c r="B34">
        <f>TRUNC(-2.9)</f>
        <v>-2</v>
      </c>
    </row>
    <row r="35" spans="1:2" x14ac:dyDescent="0.35">
      <c r="A35" t="s">
        <v>38</v>
      </c>
      <c r="B35">
        <f>INT(-2.9)</f>
        <v>-3</v>
      </c>
    </row>
    <row r="36" spans="1:2" x14ac:dyDescent="0.35">
      <c r="A36" t="s">
        <v>39</v>
      </c>
      <c r="B36">
        <f>MOD(-7,3)</f>
        <v>2</v>
      </c>
    </row>
    <row r="37" spans="1:2" x14ac:dyDescent="0.35">
      <c r="A37" t="s">
        <v>40</v>
      </c>
      <c r="B37">
        <f>MROUND(7,2)</f>
        <v>8</v>
      </c>
    </row>
    <row r="38" spans="1:2" x14ac:dyDescent="0.35">
      <c r="A38" t="s">
        <v>41</v>
      </c>
      <c r="B38">
        <f>_xlfn.CEILING.MATH(-2.5)</f>
        <v>-2</v>
      </c>
    </row>
    <row r="39" spans="1:2" x14ac:dyDescent="0.35">
      <c r="A39" t="s">
        <v>42</v>
      </c>
      <c r="B39">
        <f>_xlfn.FLOOR.MATH(-2.5)</f>
        <v>-3</v>
      </c>
    </row>
    <row r="40" spans="1:2" x14ac:dyDescent="0.35">
      <c r="A40" t="s">
        <v>43</v>
      </c>
      <c r="B40">
        <f>SQRT(81)+POWER(2,3)</f>
        <v>17</v>
      </c>
    </row>
    <row r="41" spans="1:2" x14ac:dyDescent="0.35">
      <c r="A41" t="s">
        <v>44</v>
      </c>
      <c r="B41">
        <f>SUMPRODUCT(Amounts,Amounts)</f>
        <v>3000</v>
      </c>
    </row>
    <row r="42" spans="1:2" x14ac:dyDescent="0.35">
      <c r="A42" t="s">
        <v>45</v>
      </c>
      <c r="B42">
        <f>MEDIAN(Amounts)</f>
        <v>25</v>
      </c>
    </row>
    <row r="43" spans="1:2" x14ac:dyDescent="0.35">
      <c r="A43" t="s">
        <v>46</v>
      </c>
      <c r="B43">
        <f>LARGE(Amounts,2)</f>
        <v>30</v>
      </c>
    </row>
    <row r="44" spans="1:2" x14ac:dyDescent="0.35">
      <c r="A44" t="s">
        <v>47</v>
      </c>
      <c r="B44">
        <f>_xlfn.PERCENTILE.INC(Amounts,0.25)</f>
        <v>17.5</v>
      </c>
    </row>
    <row r="45" spans="1:2" x14ac:dyDescent="0.35">
      <c r="A45" t="s">
        <v>48</v>
      </c>
      <c r="B45">
        <f>_xlfn.STDEV.P(Amounts)</f>
        <v>11.180339887498949</v>
      </c>
    </row>
    <row r="46" spans="1:2" x14ac:dyDescent="0.35">
      <c r="A46" t="s">
        <v>49</v>
      </c>
      <c r="B46" s="2">
        <f>ROUND(PMT(0.01,12,1000),2)</f>
        <v>-88.85</v>
      </c>
    </row>
    <row r="47" spans="1:2" x14ac:dyDescent="0.35">
      <c r="A47" t="s">
        <v>50</v>
      </c>
      <c r="B47" s="2">
        <f>ROUND(FV(0.01,12,-100),2)</f>
        <v>1268.25</v>
      </c>
    </row>
    <row r="48" spans="1:2" x14ac:dyDescent="0.35">
      <c r="A48" t="s">
        <v>51</v>
      </c>
      <c r="B48" t="str">
        <f>IF(AND(1&lt;2,OR(FALSE,TRUE)),"yes","no")</f>
        <v>yes</v>
      </c>
    </row>
    <row r="49" spans="1:2" x14ac:dyDescent="0.35">
      <c r="A49" t="s">
        <v>52</v>
      </c>
      <c r="B49" t="str">
        <f>_xlfn.IFS(1&gt;2,"bad",2=2,"ok")</f>
        <v>ok</v>
      </c>
    </row>
    <row r="50" spans="1:2" x14ac:dyDescent="0.35">
      <c r="A50" t="s">
        <v>53</v>
      </c>
      <c r="B50" t="str">
        <f>_xlfn.SWITCH(2,1,"one",2,"two","other")</f>
        <v>two</v>
      </c>
    </row>
    <row r="51" spans="1:2" x14ac:dyDescent="0.35">
      <c r="A51" t="s">
        <v>54</v>
      </c>
      <c r="B51" t="str">
        <f>CHOOSE(2,"one","two","three")</f>
        <v>two</v>
      </c>
    </row>
    <row r="52" spans="1:2" x14ac:dyDescent="0.35">
      <c r="A52" t="s">
        <v>55</v>
      </c>
      <c r="B52" t="str">
        <f>IFERROR(1/0,"caught")</f>
        <v>caught</v>
      </c>
    </row>
    <row r="53" spans="1:2" x14ac:dyDescent="0.35">
      <c r="A53" t="s">
        <v>56</v>
      </c>
      <c r="B53" t="str">
        <f>_xlfn.IFNA(NA(),"missing")</f>
        <v>missing</v>
      </c>
    </row>
    <row r="54" spans="1:2" x14ac:dyDescent="0.35">
      <c r="A54" t="s">
        <v>57</v>
      </c>
      <c r="B54" t="b">
        <f>ISERROR(NA())</f>
        <v>1</v>
      </c>
    </row>
    <row r="55" spans="1:2" x14ac:dyDescent="0.35">
      <c r="A55" t="s">
        <v>58</v>
      </c>
      <c r="B55" t="b">
        <f>ISNA(NA())</f>
        <v>1</v>
      </c>
    </row>
    <row r="56" spans="1:2" x14ac:dyDescent="0.35">
      <c r="A56" t="s">
        <v>59</v>
      </c>
      <c r="B56">
        <f>IFERROR(SUM('Source Data'!D1),77)</f>
        <v>77</v>
      </c>
    </row>
    <row r="57" spans="1:2" x14ac:dyDescent="0.35">
      <c r="A57" t="s">
        <v>60</v>
      </c>
      <c r="B57">
        <f>COUNT('Source Data'!D1)</f>
        <v>0</v>
      </c>
    </row>
    <row r="58" spans="1:2" x14ac:dyDescent="0.35">
      <c r="A58" t="s">
        <v>61</v>
      </c>
      <c r="B58">
        <f>COUNTA('Source Data'!D1)</f>
        <v>1</v>
      </c>
    </row>
    <row r="59" spans="1:2" x14ac:dyDescent="0.35">
      <c r="A59" t="s">
        <v>62</v>
      </c>
      <c r="B59" t="b">
        <f>ISNUMBER(SUM(Amounts))</f>
        <v>1</v>
      </c>
    </row>
    <row r="60" spans="1:2" x14ac:dyDescent="0.35">
      <c r="A60" t="s">
        <v>63</v>
      </c>
      <c r="B60" t="b">
        <f>ISLOGICAL(1=1)</f>
        <v>1</v>
      </c>
    </row>
    <row r="61" spans="1:2" x14ac:dyDescent="0.35">
      <c r="A61" t="s">
        <v>64</v>
      </c>
      <c r="B61" t="b">
        <f>_xlfn.ISFORMULA('Source Data'!D1)</f>
        <v>1</v>
      </c>
    </row>
    <row r="62" spans="1:2" x14ac:dyDescent="0.35">
      <c r="A62" t="s">
        <v>65</v>
      </c>
      <c r="B62" s="3">
        <f>DATE(2024,2,29)</f>
        <v>45351</v>
      </c>
    </row>
    <row r="63" spans="1:2" x14ac:dyDescent="0.35">
      <c r="A63" t="s">
        <v>66</v>
      </c>
      <c r="B63" s="3">
        <f>DATE(2024,2,29)+1</f>
        <v>45352</v>
      </c>
    </row>
    <row r="64" spans="1:2" x14ac:dyDescent="0.35">
      <c r="A64" t="s">
        <v>67</v>
      </c>
      <c r="B64">
        <f>YEAR(DATE(2024,2,29))</f>
        <v>2024</v>
      </c>
    </row>
    <row r="65" spans="1:2" x14ac:dyDescent="0.35">
      <c r="A65" t="s">
        <v>68</v>
      </c>
      <c r="B65">
        <f>MONTH(DATE(2024,2,29))</f>
        <v>2</v>
      </c>
    </row>
    <row r="66" spans="1:2" x14ac:dyDescent="0.35">
      <c r="A66" t="s">
        <v>69</v>
      </c>
      <c r="B66">
        <f>DAY(DATE(2024,2,29))</f>
        <v>29</v>
      </c>
    </row>
    <row r="67" spans="1:2" x14ac:dyDescent="0.35">
      <c r="A67" t="s">
        <v>70</v>
      </c>
      <c r="B67" s="3">
        <f>DATE(1900,2,28)</f>
        <v>59</v>
      </c>
    </row>
    <row r="68" spans="1:2" x14ac:dyDescent="0.35">
      <c r="A68" t="s">
        <v>71</v>
      </c>
      <c r="B68" s="3">
        <f>DATE(1900,2,29)</f>
        <v>60</v>
      </c>
    </row>
    <row r="69" spans="1:2" x14ac:dyDescent="0.35">
      <c r="A69" t="s">
        <v>72</v>
      </c>
      <c r="B69" s="3">
        <f>DATE(1900,3,1)</f>
        <v>61</v>
      </c>
    </row>
    <row r="70" spans="1:2" x14ac:dyDescent="0.35">
      <c r="A70" t="s">
        <v>73</v>
      </c>
      <c r="B70" s="3">
        <f>DATE(1904,1,1)</f>
        <v>1462</v>
      </c>
    </row>
    <row r="71" spans="1:2" x14ac:dyDescent="0.35">
      <c r="A71" t="s">
        <v>74</v>
      </c>
      <c r="B71">
        <f>YEAR(60)</f>
        <v>1900</v>
      </c>
    </row>
    <row r="72" spans="1:2" x14ac:dyDescent="0.35">
      <c r="A72" t="s">
        <v>75</v>
      </c>
      <c r="B72">
        <f>MONTH(60)</f>
        <v>2</v>
      </c>
    </row>
    <row r="73" spans="1:2" x14ac:dyDescent="0.35">
      <c r="A73" t="s">
        <v>76</v>
      </c>
      <c r="B73">
        <f>DAY(60)</f>
        <v>29</v>
      </c>
    </row>
    <row r="74" spans="1:2" x14ac:dyDescent="0.35">
      <c r="A74" t="s">
        <v>77</v>
      </c>
      <c r="B74" s="4">
        <f>TIME(12,30,15)</f>
        <v>0.5210069444444444</v>
      </c>
    </row>
    <row r="75" spans="1:2" x14ac:dyDescent="0.35">
      <c r="A75" t="s">
        <v>78</v>
      </c>
      <c r="B75">
        <f>HOUR(TIME(12,30,15))</f>
        <v>12</v>
      </c>
    </row>
    <row r="76" spans="1:2" x14ac:dyDescent="0.35">
      <c r="A76" t="s">
        <v>79</v>
      </c>
      <c r="B76">
        <f>MINUTE(TIME(12,30,15))</f>
        <v>30</v>
      </c>
    </row>
    <row r="77" spans="1:2" x14ac:dyDescent="0.35">
      <c r="A77" t="s">
        <v>80</v>
      </c>
      <c r="B77">
        <f>SECOND(TIME(12,30,15))</f>
        <v>15</v>
      </c>
    </row>
    <row r="78" spans="1:2" x14ac:dyDescent="0.35">
      <c r="A78" t="s">
        <v>81</v>
      </c>
      <c r="B78">
        <f>EDATE(DATE(2024,1,31),1)</f>
        <v>45351</v>
      </c>
    </row>
    <row r="79" spans="1:2" x14ac:dyDescent="0.35">
      <c r="A79" t="s">
        <v>82</v>
      </c>
      <c r="B79">
        <f>EOMONTH(DATE(2024,1,15),1)</f>
        <v>45351</v>
      </c>
    </row>
    <row r="80" spans="1:2" x14ac:dyDescent="0.35">
      <c r="A80" t="s">
        <v>83</v>
      </c>
      <c r="B80">
        <f>NETWORKDAYS(DATE(2024,1,1),DATE(2024,1,5))</f>
        <v>5</v>
      </c>
    </row>
    <row r="81" spans="1:2" x14ac:dyDescent="0.35">
      <c r="A81" t="s">
        <v>84</v>
      </c>
      <c r="B81">
        <f>WORKDAY(DATE(2024,1,5),1)</f>
        <v>45299</v>
      </c>
    </row>
    <row r="82" spans="1:2" x14ac:dyDescent="0.35">
      <c r="A82" t="s">
        <v>85</v>
      </c>
      <c r="B82">
        <f>DATEDIF(DATE(2020,1,1),DATE(2024,1,1),"y")</f>
        <v>4</v>
      </c>
    </row>
    <row r="83" spans="1:2" x14ac:dyDescent="0.35">
      <c r="A83" t="s">
        <v>86</v>
      </c>
      <c r="B83">
        <f>YEARFRAC(DATE(2024,1,1),DATE(2025,1,1),3)</f>
        <v>1.0027397260273974</v>
      </c>
    </row>
    <row r="84" spans="1:2" x14ac:dyDescent="0.35">
      <c r="A84" t="s">
        <v>87</v>
      </c>
      <c r="B84" t="b">
        <f>ISNUMBER(TRUE)</f>
        <v>0</v>
      </c>
    </row>
    <row r="85" spans="1:2" x14ac:dyDescent="0.35">
      <c r="A85" t="s">
        <v>88</v>
      </c>
      <c r="B85" t="b">
        <f>ISNUMBER(1=1)</f>
        <v>0</v>
      </c>
    </row>
    <row r="86" spans="1:2" x14ac:dyDescent="0.35">
      <c r="A86" t="s">
        <v>89</v>
      </c>
      <c r="B86" t="b">
        <f>ISTEXT(NA())</f>
        <v>0</v>
      </c>
    </row>
    <row r="87" spans="1:2" x14ac:dyDescent="0.35">
      <c r="A87" t="s">
        <v>90</v>
      </c>
      <c r="B87" t="b">
        <f>ISLOGICAL("true")</f>
        <v>0</v>
      </c>
    </row>
    <row r="88" spans="1:2" x14ac:dyDescent="0.35">
      <c r="A88" t="s">
        <v>91</v>
      </c>
      <c r="B88">
        <f>ROUND(2.675,2)</f>
        <v>2.68</v>
      </c>
    </row>
    <row r="89" spans="1:2" x14ac:dyDescent="0.35">
      <c r="A89" t="s">
        <v>92</v>
      </c>
      <c r="B89">
        <f>ROUND(1.005,2)</f>
        <v>1.01</v>
      </c>
    </row>
    <row r="90" spans="1:2" x14ac:dyDescent="0.35">
      <c r="A90" t="s">
        <v>93</v>
      </c>
      <c r="B90">
        <f>ROUND(-1.005,2)</f>
        <v>-1.01</v>
      </c>
    </row>
    <row r="91" spans="1:2" x14ac:dyDescent="0.35">
      <c r="A91" t="s">
        <v>94</v>
      </c>
      <c r="B91">
        <f>WEEKDAY(1)</f>
        <v>1</v>
      </c>
    </row>
    <row r="92" spans="1:2" x14ac:dyDescent="0.35">
      <c r="A92" t="s">
        <v>95</v>
      </c>
      <c r="B92">
        <f>WEEKDAY(59)</f>
        <v>3</v>
      </c>
    </row>
    <row r="93" spans="1:2" x14ac:dyDescent="0.35">
      <c r="A93" t="s">
        <v>96</v>
      </c>
      <c r="B93">
        <f>WEEKDAY(60)</f>
        <v>4</v>
      </c>
    </row>
    <row r="94" spans="1:2" x14ac:dyDescent="0.35">
      <c r="A94" t="s">
        <v>97</v>
      </c>
      <c r="B94">
        <f>WEEKDAY(61)</f>
        <v>5</v>
      </c>
    </row>
    <row r="95" spans="1:2" x14ac:dyDescent="0.35">
      <c r="A95" t="s">
        <v>98</v>
      </c>
      <c r="B95">
        <f>DAY(0)</f>
        <v>0</v>
      </c>
    </row>
    <row r="96" spans="1:2" x14ac:dyDescent="0.35">
      <c r="A96" t="s">
        <v>99</v>
      </c>
      <c r="B96">
        <f>MONTH(0)</f>
        <v>1</v>
      </c>
    </row>
    <row r="97" spans="1:2" x14ac:dyDescent="0.35">
      <c r="A97" t="s">
        <v>100</v>
      </c>
      <c r="B97">
        <f>YEAR(0)</f>
        <v>1900</v>
      </c>
    </row>
    <row r="98" spans="1:2" x14ac:dyDescent="0.35">
      <c r="A98" t="s">
        <v>101</v>
      </c>
      <c r="B98" s="3">
        <f>DATE(1900,1,0)</f>
        <v>0</v>
      </c>
    </row>
    <row r="99" spans="1:2" x14ac:dyDescent="0.35">
      <c r="A99" t="s">
        <v>102</v>
      </c>
      <c r="B99" s="3">
        <f>DATE(1900,3,0)</f>
        <v>60</v>
      </c>
    </row>
    <row r="100" spans="1:2" x14ac:dyDescent="0.35">
      <c r="A100" t="s">
        <v>103</v>
      </c>
      <c r="B100" s="3">
        <f>DATE(1900,2,30)</f>
        <v>61</v>
      </c>
    </row>
    <row r="101" spans="1:2" x14ac:dyDescent="0.35">
      <c r="A101" t="s">
        <v>104</v>
      </c>
      <c r="B101">
        <f>SEARCH("B~?ta","B?ta")</f>
        <v>1</v>
      </c>
    </row>
    <row r="102" spans="1:2" x14ac:dyDescent="0.35">
      <c r="A102" t="s">
        <v>105</v>
      </c>
      <c r="B102">
        <f>SEARCH("a*","xxabc")</f>
        <v>3</v>
      </c>
    </row>
    <row r="103" spans="1:2" x14ac:dyDescent="0.35">
      <c r="A103" t="s">
        <v>106</v>
      </c>
      <c r="B103">
        <f>SEARCH("*","Alpha")</f>
        <v>1</v>
      </c>
    </row>
    <row r="104" spans="1:2" x14ac:dyDescent="0.35">
      <c r="A104" t="s">
        <v>107</v>
      </c>
      <c r="B104">
        <f>SEARCH("~*","x*y")</f>
        <v>2</v>
      </c>
    </row>
    <row r="105" spans="1:2" x14ac:dyDescent="0.35">
      <c r="A105" t="s">
        <v>108</v>
      </c>
      <c r="B105">
        <f>COUNTIF(Keys,"~*")</f>
        <v>0</v>
      </c>
    </row>
    <row r="106" spans="1:2" x14ac:dyDescent="0.35">
      <c r="A106" t="s">
        <v>109</v>
      </c>
      <c r="B106" s="3">
        <f>DATE(2024.9,2.9,29.9)</f>
        <v>45351</v>
      </c>
    </row>
    <row r="107" spans="1:2" x14ac:dyDescent="0.35">
      <c r="A107" t="s">
        <v>110</v>
      </c>
      <c r="B107">
        <f>ROUND(1E+30,-2)</f>
        <v>1E+30</v>
      </c>
    </row>
    <row r="108" spans="1:2" x14ac:dyDescent="0.35">
      <c r="A108" t="s">
        <v>111</v>
      </c>
      <c r="B108">
        <f>TaxAlias*100</f>
        <v>20</v>
      </c>
    </row>
    <row r="109" spans="1:2" x14ac:dyDescent="0.35">
      <c r="A109" t="s">
        <v>112</v>
      </c>
      <c r="B109" t="str">
        <f>TextConstant&amp;"!"</f>
        <v>say "hello"!</v>
      </c>
    </row>
    <row r="110" spans="1:2" x14ac:dyDescent="0.35">
      <c r="A110" t="s">
        <v>113</v>
      </c>
      <c r="B110" t="b">
        <f>ISLOGICAL(FlagConstant)</f>
        <v>1</v>
      </c>
    </row>
    <row r="111" spans="1:2" x14ac:dyDescent="0.35">
      <c r="A111" t="s">
        <v>114</v>
      </c>
      <c r="B111" t="str">
        <f>_xlfn.IFNA(ErrorConstant,"named missing")</f>
        <v>named missing</v>
      </c>
    </row>
    <row r="112" spans="1:2" x14ac:dyDescent="0.35">
      <c r="A112" t="s">
        <v>115</v>
      </c>
      <c r="B112">
        <f>Shadowed</f>
        <v>5</v>
      </c>
    </row>
    <row r="113" spans="1:2" x14ac:dyDescent="0.35">
      <c r="A113" s="1" t="s">
        <v>116</v>
      </c>
      <c r="B113">
        <f>'O''Brien'!Shadowed</f>
        <v>7</v>
      </c>
    </row>
    <row r="114" spans="1:2" x14ac:dyDescent="0.35">
      <c r="A114" t="s">
        <v>117</v>
      </c>
      <c r="B114" t="str">
        <f>CommaConstant</f>
        <v>Hello, world</v>
      </c>
    </row>
    <row r="115" spans="1:2" x14ac:dyDescent="0.35">
      <c r="A115" t="s">
        <v>118</v>
      </c>
      <c r="B115" t="str">
        <f>RefTextConstant</f>
        <v>contains #REF!</v>
      </c>
    </row>
    <row r="116" spans="1:2" x14ac:dyDescent="0.35">
      <c r="A116" t="s">
        <v>119</v>
      </c>
      <c r="B116" t="str">
        <f>CommaAlias</f>
        <v>Hello, world</v>
      </c>
    </row>
    <row r="117" spans="1:2" x14ac:dyDescent="0.35">
      <c r="A117" t="s">
        <v>120</v>
      </c>
      <c r="B117" t="b">
        <f>ISERROR(RefErrorConstant)</f>
        <v>1</v>
      </c>
    </row>
    <row r="118" spans="1:2" x14ac:dyDescent="0.35">
      <c r="A118" t="s">
        <v>121</v>
      </c>
      <c r="B118">
        <f>_xlfn.DAYS(60,59)</f>
        <v>1</v>
      </c>
    </row>
    <row r="119" spans="1:2" x14ac:dyDescent="0.35">
      <c r="A119" t="s">
        <v>122</v>
      </c>
      <c r="B119">
        <f>_xlfn.DAYS(61,59)</f>
        <v>2</v>
      </c>
    </row>
    <row r="120" spans="1:2" x14ac:dyDescent="0.35">
      <c r="A120" t="s">
        <v>123</v>
      </c>
      <c r="B120">
        <f>_xlfn.DAYS(59.9,60.1)</f>
        <v>-1</v>
      </c>
    </row>
    <row r="121" spans="1:2" x14ac:dyDescent="0.35">
      <c r="A121" t="s">
        <v>124</v>
      </c>
      <c r="B121">
        <f>DATEDIF(59,61,"d")</f>
        <v>2</v>
      </c>
    </row>
    <row r="122" spans="1:2" x14ac:dyDescent="0.35">
      <c r="A122" t="s">
        <v>125</v>
      </c>
      <c r="B122">
        <f>YEARFRAC(59,61,0)</f>
        <v>2.7777777777777779E-3</v>
      </c>
    </row>
    <row r="123" spans="1:2" x14ac:dyDescent="0.35">
      <c r="A123" t="s">
        <v>126</v>
      </c>
      <c r="B123">
        <f>YEARFRAC(59,61,1)</f>
        <v>5.4794520547945206E-3</v>
      </c>
    </row>
    <row r="124" spans="1:2" x14ac:dyDescent="0.35">
      <c r="A124" t="s">
        <v>127</v>
      </c>
      <c r="B124">
        <f>YEARFRAC(59,61,2)</f>
        <v>5.5555555555555558E-3</v>
      </c>
    </row>
    <row r="125" spans="1:2" x14ac:dyDescent="0.35">
      <c r="A125" t="s">
        <v>128</v>
      </c>
      <c r="B125">
        <f>YEARFRAC(59,61,3)</f>
        <v>5.4794520547945206E-3</v>
      </c>
    </row>
    <row r="126" spans="1:2" x14ac:dyDescent="0.35">
      <c r="A126" t="s">
        <v>129</v>
      </c>
      <c r="B126">
        <f>YEARFRAC(59,61,4)</f>
        <v>8.3333333333333332E-3</v>
      </c>
    </row>
    <row r="127" spans="1:2" x14ac:dyDescent="0.35">
      <c r="A127" t="s">
        <v>130</v>
      </c>
      <c r="B127">
        <f>NETWORKDAYS(58,62)</f>
        <v>5</v>
      </c>
    </row>
    <row r="128" spans="1:2" x14ac:dyDescent="0.35">
      <c r="A128" t="s">
        <v>131</v>
      </c>
      <c r="B128">
        <f>WORKDAY(59,1)</f>
        <v>60</v>
      </c>
    </row>
    <row r="129" spans="1:2" x14ac:dyDescent="0.35">
      <c r="A129" t="s">
        <v>132</v>
      </c>
      <c r="B129">
        <f>WORKDAY.INTL(59,1,1)</f>
        <v>60</v>
      </c>
    </row>
    <row r="130" spans="1:2" x14ac:dyDescent="0.35">
      <c r="A130" t="s">
        <v>133</v>
      </c>
      <c r="B130">
        <f>EDATE(60,1)</f>
        <v>89</v>
      </c>
    </row>
    <row r="131" spans="1:2" x14ac:dyDescent="0.35">
      <c r="A131" t="s">
        <v>134</v>
      </c>
      <c r="B131">
        <f>EOMONTH(59,0)</f>
        <v>59</v>
      </c>
    </row>
    <row r="132" spans="1:2" x14ac:dyDescent="0.35">
      <c r="A132" t="s">
        <v>135</v>
      </c>
      <c r="B132">
        <f>DAYS360(59,61)</f>
        <v>3</v>
      </c>
    </row>
    <row r="133" spans="1:2" x14ac:dyDescent="0.35">
      <c r="A133" t="s">
        <v>136</v>
      </c>
      <c r="B133">
        <f>DATEDIF(59,61,"md")</f>
        <v>2</v>
      </c>
    </row>
    <row r="134" spans="1:2" x14ac:dyDescent="0.35">
      <c r="A134" t="s">
        <v>137</v>
      </c>
      <c r="B134">
        <f>EOMONTH(60,0)</f>
        <v>59</v>
      </c>
    </row>
    <row r="135" spans="1:2" x14ac:dyDescent="0.35">
      <c r="A135" t="s">
        <v>138</v>
      </c>
      <c r="B135">
        <f>EDATE(59,0)</f>
        <v>59</v>
      </c>
    </row>
    <row r="136" spans="1:2" x14ac:dyDescent="0.35">
      <c r="A136" t="s">
        <v>139</v>
      </c>
      <c r="B136">
        <f>EDATE(60,0)</f>
        <v>59</v>
      </c>
    </row>
    <row r="137" spans="1:2" x14ac:dyDescent="0.35">
      <c r="A137" t="s">
        <v>140</v>
      </c>
      <c r="B137">
        <f>EDATE(31,1)</f>
        <v>59</v>
      </c>
    </row>
    <row r="138" spans="1:2" x14ac:dyDescent="0.35">
      <c r="A138" t="s">
        <v>141</v>
      </c>
      <c r="B138">
        <f>NETWORKDAYS(59,61,60)</f>
        <v>2</v>
      </c>
    </row>
    <row r="139" spans="1:2" x14ac:dyDescent="0.35">
      <c r="A139" t="s">
        <v>142</v>
      </c>
      <c r="B139">
        <f>WORKDAY(59,1,60)</f>
        <v>61</v>
      </c>
    </row>
    <row r="140" spans="1:2" x14ac:dyDescent="0.35">
      <c r="A140" t="s">
        <v>143</v>
      </c>
      <c r="B140">
        <f>DATEDIF(59,61,"yd")</f>
        <v>2</v>
      </c>
    </row>
    <row r="141" spans="1:2" x14ac:dyDescent="0.35">
      <c r="A141" t="s">
        <v>144</v>
      </c>
      <c r="B141">
        <f>DATEDIF(60,425,"y")</f>
        <v>0</v>
      </c>
    </row>
    <row r="142" spans="1:2" x14ac:dyDescent="0.35">
      <c r="A142" t="s">
        <v>145</v>
      </c>
      <c r="B142">
        <f>DATEDIF(60,425,"m")</f>
        <v>11</v>
      </c>
    </row>
    <row r="143" spans="1:2" x14ac:dyDescent="0.35">
      <c r="A143" t="s">
        <v>146</v>
      </c>
      <c r="B143">
        <f>DATEDIF(60,425,"md")</f>
        <v>30</v>
      </c>
    </row>
    <row r="144" spans="1:2" x14ac:dyDescent="0.35">
      <c r="A144" t="s">
        <v>147</v>
      </c>
      <c r="B144">
        <f>YEARFRAC(59,60,1)</f>
        <v>2.7397260273972603E-3</v>
      </c>
    </row>
    <row r="145" spans="1:2" x14ac:dyDescent="0.35">
      <c r="A145" t="s">
        <v>148</v>
      </c>
      <c r="B145">
        <f>YEARFRAC(60,61,1)</f>
        <v>2.7397260273972603E-3</v>
      </c>
    </row>
    <row r="146" spans="1:2" x14ac:dyDescent="0.35">
      <c r="A146" t="s">
        <v>149</v>
      </c>
      <c r="B146">
        <f>YEARFRAC(DATE(2023,2,28),DATE(2023,3,1),4)</f>
        <v>8.3333333333333332E-3</v>
      </c>
    </row>
    <row r="147" spans="1:2" x14ac:dyDescent="0.35">
      <c r="A147" t="s">
        <v>150</v>
      </c>
      <c r="B147">
        <f>YEARFRAC(DATE(2024,2,28),DATE(2024,3,1),4)</f>
        <v>8.3333333333333332E-3</v>
      </c>
    </row>
    <row r="148" spans="1:2" x14ac:dyDescent="0.35">
      <c r="A148" t="s">
        <v>151</v>
      </c>
      <c r="B148">
        <f>YEARFRAC(DATE(2024,2,29),DATE(2024,3,2),4)</f>
        <v>8.3333333333333332E-3</v>
      </c>
    </row>
    <row r="149" spans="1:2" x14ac:dyDescent="0.35">
      <c r="A149" t="s">
        <v>152</v>
      </c>
      <c r="B149">
        <f>HOUR(0.999999)</f>
        <v>0</v>
      </c>
    </row>
    <row r="150" spans="1:2" x14ac:dyDescent="0.35">
      <c r="A150" t="s">
        <v>153</v>
      </c>
      <c r="B150">
        <f>MINUTE(0.999999)</f>
        <v>0</v>
      </c>
    </row>
    <row r="151" spans="1:2" x14ac:dyDescent="0.35">
      <c r="A151" t="s">
        <v>154</v>
      </c>
      <c r="B151">
        <f>SECOND(0.999999)</f>
        <v>0</v>
      </c>
    </row>
    <row r="152" spans="1:2" x14ac:dyDescent="0.35">
      <c r="A152" t="s">
        <v>155</v>
      </c>
      <c r="B152">
        <f>DATEDIF(60,60,"yd")</f>
        <v>0</v>
      </c>
    </row>
    <row r="153" spans="1:2" x14ac:dyDescent="0.35">
      <c r="A153" t="s">
        <v>156</v>
      </c>
      <c r="B153" t="e">
        <f>DATEDIF(60,59,"d")</f>
        <v>#NUM!</v>
      </c>
    </row>
    <row r="154" spans="1:2" x14ac:dyDescent="0.35">
      <c r="A154" t="s">
        <v>157</v>
      </c>
      <c r="B154">
        <f>WEEKNUM(7)</f>
        <v>1</v>
      </c>
    </row>
    <row r="155" spans="1:2" x14ac:dyDescent="0.35">
      <c r="A155" t="s">
        <v>158</v>
      </c>
      <c r="B155">
        <f>WEEKNUM(60)</f>
        <v>9</v>
      </c>
    </row>
    <row r="156" spans="1:2" x14ac:dyDescent="0.35">
      <c r="A156" t="s">
        <v>159</v>
      </c>
      <c r="B156">
        <f>WEEKNUM(61)</f>
        <v>9</v>
      </c>
    </row>
    <row r="157" spans="1:2" x14ac:dyDescent="0.35">
      <c r="A157" t="s">
        <v>160</v>
      </c>
      <c r="B157">
        <f>WEEKNUM(7,2)</f>
        <v>2</v>
      </c>
    </row>
    <row r="158" spans="1:2" x14ac:dyDescent="0.35">
      <c r="A158" t="s">
        <v>161</v>
      </c>
      <c r="B158">
        <f>_xlfn.ISOWEEKNUM(7)</f>
        <v>1</v>
      </c>
    </row>
    <row r="159" spans="1:2" x14ac:dyDescent="0.35">
      <c r="A159" t="s">
        <v>162</v>
      </c>
      <c r="B159">
        <f>_xlfn.ISOWEEKNUM(60)</f>
        <v>9</v>
      </c>
    </row>
    <row r="160" spans="1:2" x14ac:dyDescent="0.35">
      <c r="A160" t="s">
        <v>163</v>
      </c>
      <c r="B160">
        <f>_xlfn.ISOWEEKNUM(61)</f>
        <v>9</v>
      </c>
    </row>
    <row r="161" spans="1:2" x14ac:dyDescent="0.35">
      <c r="A161" t="s">
        <v>164</v>
      </c>
      <c r="B161" t="str">
        <f>TEXT(60,"[$-409]mm-dd")</f>
        <v>02-29</v>
      </c>
    </row>
    <row r="162" spans="1:2" x14ac:dyDescent="0.35">
      <c r="A162" t="s">
        <v>165</v>
      </c>
      <c r="B162" t="str">
        <f>TEXT(59,"[$-409]dddd")</f>
        <v>Tuesday</v>
      </c>
    </row>
    <row r="163" spans="1:2" x14ac:dyDescent="0.35">
      <c r="A163" t="s">
        <v>166</v>
      </c>
      <c r="B163" t="str">
        <f>TEXT(0,"[$-409]mm-dd")</f>
        <v>01-00</v>
      </c>
    </row>
    <row r="164" spans="1:2" x14ac:dyDescent="0.35">
      <c r="A164" t="s">
        <v>167</v>
      </c>
      <c r="B164">
        <f>YEARFRAC(60,59,1)</f>
        <v>2.7397260273972603E-3</v>
      </c>
    </row>
    <row r="165" spans="1:2" x14ac:dyDescent="0.35">
      <c r="A165" t="s">
        <v>168</v>
      </c>
      <c r="B165">
        <f>DATEDIF(60,425,"yd")</f>
        <v>365</v>
      </c>
    </row>
    <row r="166" spans="1:2" x14ac:dyDescent="0.35">
      <c r="A166" t="s">
        <v>169</v>
      </c>
      <c r="B166">
        <f>NETWORKDAYS(59.9,59.1)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O'Brien</vt:lpstr>
      <vt:lpstr>Source Data</vt:lpstr>
      <vt:lpstr>Expressions</vt:lpstr>
      <vt:lpstr>Amounts</vt:lpstr>
      <vt:lpstr>Chosen</vt:lpstr>
      <vt:lpstr>Keys</vt:lpstr>
      <vt:lpstr>Expressions!LocalAmount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2026-09-27T12:53:04Z</dcterms:created>
  <dcterms:modified xsi:type="dcterms:W3CDTF">2026-09-27T12:53:12Z</dcterms:modified>
</cp:coreProperties>
</file>