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upport\GitHub\_worktrees\OfficeIMO-formula-errors\OfficeIMO.TestAssets\Documents\ExcelFormulaCorpus\"/>
    </mc:Choice>
  </mc:AlternateContent>
  <xr:revisionPtr revIDLastSave="0" documentId="13_ncr:1_{1059DBE3-3FBC-423F-B9E5-77BB31BB8D28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Data" sheetId="1" r:id="rId1"/>
    <sheet name="Report" sheetId="2" r:id="rId2"/>
    <sheet name="Keys" sheetId="3" r:id="rId3"/>
  </sheets>
  <definedNames>
    <definedName name="Calc">SUM(Data!$A$1:$A$6)*2</definedName>
    <definedName name="EmptyKey">Keys!$H$1</definedName>
    <definedName name="Nested">Calc/2+1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91" i="2" l="1" a="1"/>
  <c r="A1671" i="2"/>
  <c r="A1661" i="2"/>
  <c r="A1651" i="2"/>
  <c r="A1641" i="2"/>
  <c r="A1631" i="2"/>
  <c r="A1621" i="2"/>
  <c r="A1611" i="2"/>
  <c r="A1601" i="2"/>
  <c r="A1591" i="2"/>
  <c r="A1581" i="2"/>
  <c r="A1571" i="2"/>
  <c r="A1561" i="2"/>
  <c r="A1551" i="2"/>
  <c r="A1541" i="2"/>
  <c r="A1531" i="2"/>
  <c r="A1521" i="2"/>
  <c r="A1511" i="2"/>
  <c r="A1501" i="2"/>
  <c r="A1491" i="2"/>
  <c r="A1481" i="2"/>
  <c r="A1471" i="2"/>
  <c r="A1461" i="2"/>
  <c r="A1451" i="2"/>
  <c r="A1441" i="2" a="1"/>
  <c r="A1431" i="2" a="1"/>
  <c r="A1421" i="2" a="1"/>
  <c r="A1411" i="2" a="1"/>
  <c r="A1401" i="2"/>
  <c r="A1391" i="2"/>
  <c r="A1381" i="2"/>
  <c r="A1371" i="2"/>
  <c r="A1361" i="2"/>
  <c r="A1351" i="2"/>
  <c r="A1341" i="2"/>
  <c r="A1331" i="2"/>
  <c r="A1321" i="2"/>
  <c r="A1311" i="2"/>
  <c r="A1301" i="2"/>
  <c r="A1291" i="2"/>
  <c r="A1281" i="2"/>
  <c r="A1271" i="2" a="1"/>
  <c r="A1261" i="2"/>
  <c r="A1251" i="2"/>
  <c r="A1241" i="2"/>
  <c r="A1231" i="2"/>
  <c r="A1221" i="2"/>
  <c r="A1211" i="2"/>
  <c r="A1201" i="2"/>
  <c r="A1191" i="2"/>
  <c r="A1181" i="2"/>
  <c r="A1171" i="2"/>
  <c r="A1161" i="2"/>
  <c r="A1151" i="2"/>
  <c r="A1141" i="2"/>
  <c r="A1131" i="2"/>
  <c r="A1121" i="2"/>
  <c r="A1111" i="2"/>
  <c r="A1101" i="2"/>
  <c r="A1091" i="2"/>
  <c r="A1081" i="2"/>
  <c r="A1071" i="2" a="1"/>
  <c r="A1061" i="2" a="1"/>
  <c r="A1051" i="2"/>
  <c r="A1041" i="2"/>
  <c r="A1031" i="2"/>
  <c r="A1021" i="2"/>
  <c r="A1011" i="2"/>
  <c r="A1001" i="2"/>
  <c r="A991" i="2"/>
  <c r="A981" i="2"/>
  <c r="A971" i="2"/>
  <c r="A961" i="2"/>
  <c r="A951" i="2"/>
  <c r="A941" i="2"/>
  <c r="A931" i="2"/>
  <c r="A921" i="2"/>
  <c r="A911" i="2"/>
  <c r="A901" i="2"/>
  <c r="A891" i="2"/>
  <c r="A881" i="2"/>
  <c r="A871" i="2"/>
  <c r="A861" i="2"/>
  <c r="A851" i="2"/>
  <c r="A841" i="2"/>
  <c r="A831" i="2"/>
  <c r="A821" i="2"/>
  <c r="A811" i="2"/>
  <c r="A801" i="2"/>
  <c r="A791" i="2"/>
  <c r="A781" i="2"/>
  <c r="A771" i="2" a="1"/>
  <c r="A761" i="2"/>
  <c r="A751" i="2"/>
  <c r="A741" i="2"/>
  <c r="A731" i="2"/>
  <c r="A721" i="2"/>
  <c r="A711" i="2"/>
  <c r="A701" i="2"/>
  <c r="A691" i="2"/>
  <c r="A681" i="2"/>
  <c r="A671" i="2"/>
  <c r="A661" i="2"/>
  <c r="A651" i="2"/>
  <c r="A641" i="2"/>
  <c r="A631" i="2"/>
  <c r="A621" i="2"/>
  <c r="A611" i="2"/>
  <c r="A601" i="2"/>
  <c r="A591" i="2"/>
  <c r="A581" i="2"/>
  <c r="A571" i="2"/>
  <c r="A561" i="2"/>
  <c r="A551" i="2"/>
  <c r="A541" i="2"/>
  <c r="A531" i="2"/>
  <c r="A521" i="2"/>
  <c r="A511" i="2"/>
  <c r="A501" i="2"/>
  <c r="A491" i="2"/>
  <c r="A481" i="2"/>
  <c r="A471" i="2"/>
  <c r="A461" i="2"/>
  <c r="A451" i="2"/>
  <c r="A441" i="2"/>
  <c r="A431" i="2" a="1"/>
  <c r="A421" i="2" a="1"/>
  <c r="A411" i="2" a="1"/>
  <c r="A401" i="2" a="1"/>
  <c r="A391" i="2" a="1"/>
  <c r="A381" i="2"/>
  <c r="A371" i="2"/>
  <c r="A361" i="2"/>
  <c r="A351" i="2"/>
  <c r="A341" i="2" a="1"/>
  <c r="A331" i="2"/>
  <c r="A321" i="2" a="1"/>
  <c r="A311" i="2" a="1"/>
  <c r="A301" i="2" a="1"/>
  <c r="A291" i="2" a="1"/>
  <c r="A281" i="2"/>
  <c r="A271" i="2"/>
  <c r="A261" i="2"/>
  <c r="A251" i="2"/>
  <c r="A241" i="2"/>
  <c r="A231" i="2"/>
  <c r="A221" i="2"/>
  <c r="A211" i="2"/>
  <c r="A201" i="2"/>
  <c r="A191" i="2"/>
  <c r="A181" i="2"/>
  <c r="A171" i="2"/>
  <c r="A161" i="2"/>
  <c r="A151" i="2"/>
  <c r="A141" i="2"/>
  <c r="A131" i="2"/>
  <c r="A121" i="2"/>
  <c r="A111" i="2"/>
  <c r="A101" i="2"/>
  <c r="A91" i="2"/>
  <c r="A81" i="2"/>
  <c r="A71" i="2"/>
  <c r="A61" i="2"/>
  <c r="A51" i="2"/>
  <c r="A41" i="2"/>
  <c r="A31" i="2"/>
  <c r="A21" i="2"/>
  <c r="A11" i="2"/>
  <c r="A1" i="2"/>
  <c r="F6" i="1"/>
  <c r="A1701" i="2" l="1" a="1"/>
  <c r="A1681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<sst xmlns="http://schemas.openxmlformats.org/spreadsheetml/2006/main" count="127" uniqueCount="121">
  <si>
    <t>ten</t>
  </si>
  <si>
    <t>Alpha</t>
  </si>
  <si>
    <t>fifty</t>
  </si>
  <si>
    <t>N</t>
  </si>
  <si>
    <t>first20</t>
  </si>
  <si>
    <t>Alpine</t>
  </si>
  <si>
    <t>forty</t>
  </si>
  <si>
    <t>1</t>
  </si>
  <si>
    <t>T</t>
  </si>
  <si>
    <t>last20</t>
  </si>
  <si>
    <t>Beta</t>
  </si>
  <si>
    <t>thirty</t>
  </si>
  <si>
    <t>B</t>
  </si>
  <si>
    <t>B?ta</t>
  </si>
  <si>
    <t>F</t>
  </si>
  <si>
    <t>B*ta</t>
  </si>
  <si>
    <t>empty</t>
  </si>
  <si>
    <t>~tail</t>
  </si>
  <si>
    <t>E</t>
  </si>
  <si>
    <t>0</t>
  </si>
  <si>
    <t>MATCH(20,Data!A1:A6)</t>
  </si>
  <si>
    <t>MATCH(20,Data!A1:A6,0)</t>
  </si>
  <si>
    <t>MATCH(21,Data!A1:A6,1)</t>
  </si>
  <si>
    <t>MATCH(21,Data!D1:D6,-1)</t>
  </si>
  <si>
    <t>VLOOKUP(20,Data!A1:B6,2)</t>
  </si>
  <si>
    <t>VLOOKUP(21,Data!A1:B6,2,TRUE)</t>
  </si>
  <si>
    <t>VLOOKUP("Al*",Data!C1:G6,5,FALSE)</t>
  </si>
  <si>
    <t>MATCH("B~?ta",Data!C1:C6,0)</t>
  </si>
  <si>
    <t>MATCH("B~*ta",Data!C1:C6,0)</t>
  </si>
  <si>
    <t>XMATCH("Al*",Data!C1:C6,2)</t>
  </si>
  <si>
    <t>XMATCH("Al*",Data!C1:C6,2,-1)</t>
  </si>
  <si>
    <t>XLOOKUP("B~?ta",Data!C1:C6,Data!B1:B6,,2)</t>
  </si>
  <si>
    <t>XMATCH(20,Data!A1:A6,0,2)</t>
  </si>
  <si>
    <t>XMATCH(20,Data!D1:D6,0,-2)</t>
  </si>
  <si>
    <t>XMATCH(21,Data!A1:A6,-1,2)</t>
  </si>
  <si>
    <t>XMATCH(21,Data!D1:D6,1,-2)</t>
  </si>
  <si>
    <t>XLOOKUP(21,Data!A1:A6,Data!B1:B6,,-1,2)</t>
  </si>
  <si>
    <t>XLOOKUP(21,Data!D1:D6,Data!E1:E6,,1,-2)</t>
  </si>
  <si>
    <t>XMATCH("Al*",Data!C1:C6,2,2)</t>
  </si>
  <si>
    <t>MATCH(1,Data!F1:F6,0)</t>
  </si>
  <si>
    <t>MATCH("1",Data!F1:F6,0)</t>
  </si>
  <si>
    <t>MATCH(TRUE,Data!F1:F6,0)</t>
  </si>
  <si>
    <t>MATCH(FALSE,Data!F1:F6,0)</t>
  </si>
  <si>
    <t>XLOOKUP(1,Data!F1:F6,Data!G1:G6)</t>
  </si>
  <si>
    <t>XLOOKUP("1",Data!F1:F6,Data!G1:G6)</t>
  </si>
  <si>
    <t>XLOOKUP(TRUE,Data!F1:F6,Data!G1:G6)</t>
  </si>
  <si>
    <t>MATCH(30,{10,20,30},0)</t>
  </si>
  <si>
    <t>SUM(INDEX(Data!A1:B6,0,1))</t>
  </si>
  <si>
    <t>SUM(INDEX(Data!A1:B6,3,0))</t>
  </si>
  <si>
    <t>INDEX(Data!A1:B6,0,1)</t>
  </si>
  <si>
    <t>INDEX(Data!A1:B6,3,0)</t>
  </si>
  <si>
    <t>INDEX({10,20;30,40},0,2)</t>
  </si>
  <si>
    <t>XLOOKUP(20,Data!A1:A6,Data!B1:C6)</t>
  </si>
  <si>
    <t>IFERROR(SUM(INDEX(Data!A1:B6,0,NA())),99)</t>
  </si>
  <si>
    <t>Calc+Nested</t>
  </si>
  <si>
    <t>VLOOKUP(21,Data!A1:B6,2,)</t>
  </si>
  <si>
    <t>MATCH(20,Data!A1:A6,)</t>
  </si>
  <si>
    <t>VLOOKUP(21,Data!A1:B6,2,0.00000001)</t>
  </si>
  <si>
    <t>INDEX(Data!A1:B6,3)</t>
  </si>
  <si>
    <t>INDEX(Data!A1:B6,3,)</t>
  </si>
  <si>
    <t>INDEX(Data!A1:B6,,2)</t>
  </si>
  <si>
    <t>INDEX(Data!A1:B6,1.9,1)</t>
  </si>
  <si>
    <t>INDEX(Data!A1:B6,"2",1)</t>
  </si>
  <si>
    <t>INDEX(Data!A1:B6,TRUE,1)</t>
  </si>
  <si>
    <t>VLOOKUP(20,Data!A1:B6,2.9,FALSE)</t>
  </si>
  <si>
    <t>SUM(INDEX((Data!A1:A2,Data!A4:A6),0,1,2))</t>
  </si>
  <si>
    <t>MATCH("A",{1,2,3},1)</t>
  </si>
  <si>
    <t>MATCH(0,{"A","B"},1)</t>
  </si>
  <si>
    <t>INDEX(Data!F1:F6,5)</t>
  </si>
  <si>
    <t>ISBLANK(INDEX(Data!F1:F6,5))</t>
  </si>
  <si>
    <t>INDEX(Data!F1:F6,5)=""</t>
  </si>
  <si>
    <t>INDEX(Data!F1:F6,5)&amp;"x"</t>
  </si>
  <si>
    <t>LEN(INDEX(Data!F1:F6,5))</t>
  </si>
  <si>
    <t>ISNUMBER(INDEX(Data!F1:F6,5))</t>
  </si>
  <si>
    <t>ISBLANK(OFFSET(Data!F1,4,0))</t>
  </si>
  <si>
    <t>OFFSET(Data!F1,4,0)=""</t>
  </si>
  <si>
    <t>OFFSET(Data!F1,4,0)&amp;"x"</t>
  </si>
  <si>
    <t>ISBLANK(XLOOKUP(40,Data!A1:A6,Data!F1:F6))</t>
  </si>
  <si>
    <t>XLOOKUP(40,Data!A1:A6,Data!F1:F6)=""</t>
  </si>
  <si>
    <t>XLOOKUP(40,Data!A1:A6,Data!F1:F6)&amp;"x"</t>
  </si>
  <si>
    <t>ISBLANK(VLOOKUP(40,Data!A1:F6,6,FALSE))</t>
  </si>
  <si>
    <t>VLOOKUP(40,Data!A1:F6,6,FALSE)=""</t>
  </si>
  <si>
    <t>VLOOKUP(40,Data!A1:F6,6,FALSE)&amp;"x"</t>
  </si>
  <si>
    <t>ISBLANK(IFERROR(INDEX(Data!F1:F6,5),77))</t>
  </si>
  <si>
    <t>IFERROR(INDEX(Data!F1:F6,5),77)&amp;"x"</t>
  </si>
  <si>
    <t>ISBLANK(IF(TRUE,INDEX(Data!F1:F6,5),77))</t>
  </si>
  <si>
    <t>IF(TRUE,INDEX(Data!F1:F6,5),77)&amp;"x"</t>
  </si>
  <si>
    <t>ISBLANK(CHOOSE(1,INDEX(Data!F1:F6,5)))</t>
  </si>
  <si>
    <t>COUNT(INDEX(Data!F1:F6,5))</t>
  </si>
  <si>
    <t>COUNTA(INDEX(Data!F1:F6,5))</t>
  </si>
  <si>
    <t>COUNTBLANK(INDEX(Data!F1:F6,5))</t>
  </si>
  <si>
    <t>AVERAGE(INDEX(Data!F1:F6,5),2)</t>
  </si>
  <si>
    <t>TEXT(INDEX(Data!F1:F6,5),"0")</t>
  </si>
  <si>
    <t>VALUE(INDEX(Data!F1:F6,5))</t>
  </si>
  <si>
    <t>CHOOSE(2,10,,20)</t>
  </si>
  <si>
    <t>IF(TRUE,,7)</t>
  </si>
  <si>
    <t>MATCH(2,{1,#N/A,2},0)</t>
  </si>
  <si>
    <t>XLOOKUP(2,{1,#N/A,2},{10,20,30})</t>
  </si>
  <si>
    <t>RANDBETWEEN(INDEX(Data!F1:F6,5),0)</t>
  </si>
  <si>
    <t>IPMT(INDEX(Data!F1:F6,5),1,2,100)</t>
  </si>
  <si>
    <t>PPMT(INDEX(Data!F1:F6,5),1,2,100)</t>
  </si>
  <si>
    <t>MATCH(Keys!H1,Keys!A1:A3,0)</t>
  </si>
  <si>
    <t>XMATCH(Keys!H1,Keys!A1:A3)</t>
  </si>
  <si>
    <t>VLOOKUP(Keys!H1,Keys!A1:B3,2,FALSE)</t>
  </si>
  <si>
    <t>HLOOKUP(Keys!H1,Keys!D1:F2,2,FALSE)</t>
  </si>
  <si>
    <t>XLOOKUP(Keys!H1,Keys!A1:A3,Keys!B1:B3)</t>
  </si>
  <si>
    <t>IFERROR(MATCH(Keys!H1,Keys!A1:A2,0),77)</t>
  </si>
  <si>
    <t>IFERROR(XMATCH(Keys!H1,Keys!A1:A2),77)</t>
  </si>
  <si>
    <t>IFERROR(VLOOKUP(Keys!H1,Keys!A1:B2,2,FALSE),77)</t>
  </si>
  <si>
    <t>IFERROR(HLOOKUP(Keys!H1,Keys!D1:E2,2,FALSE),77)</t>
  </si>
  <si>
    <t>IFERROR(XLOOKUP(Keys!H1,Keys!A1:A2,Keys!B1:B2),77)</t>
  </si>
  <si>
    <t>XMATCH(Keys!H1,Keys!J1:J3,0,2)</t>
  </si>
  <si>
    <t>XMATCH(Keys!H1,Keys!L1:L3,0,-2)</t>
  </si>
  <si>
    <t>XLOOKUP(Keys!H1,Keys!J1:J3,Keys!B1:B3,,0,2)</t>
  </si>
  <si>
    <t>XLOOKUP(Keys!H1,Keys!L1:L3,Keys!B1:B3,,0,-2)</t>
  </si>
  <si>
    <t>MATCH(0,Keys!A1:A5,0)</t>
  </si>
  <si>
    <t>MATCH("0",Keys!A1:A5,0)</t>
  </si>
  <si>
    <t>MATCH(FALSE,Keys!A1:A5,0)</t>
  </si>
  <si>
    <t>MATCH(INDEX(Keys!H1:H2,1),Keys!A1:A3,0)</t>
  </si>
  <si>
    <t>MATCH(OFFSET(Keys!H1,0,0),Keys!A1:A3,0)</t>
  </si>
  <si>
    <t>MATCH(EmptyKey,Keys!A1:A3,0)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</si>
</sst>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zł&quot;;[Red]\-#,##0.00\ &quot;zł&quot;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/>
  </sheetViews>
  <sheetFormatPr defaultRowHeight="14.5" x14ac:dyDescent="0.35"/>
  <sheetData>
    <row r="1" spans="1:7" x14ac:dyDescent="0.35">
      <c r="A1">
        <v>10</v>
      </c>
      <c r="B1" t="s">
        <v>0</v>
      </c>
      <c r="C1" t="s">
        <v>1</v>
      </c>
      <c r="D1">
        <v>50</v>
      </c>
      <c r="E1" t="s">
        <v>2</v>
      </c>
      <c r="F1">
        <v>1</v>
      </c>
      <c r="G1" t="s">
        <v>3</v>
      </c>
    </row>
    <row r="2" spans="1:7" x14ac:dyDescent="0.35">
      <c r="A2">
        <v>20</v>
      </c>
      <c r="B2" t="s">
        <v>4</v>
      </c>
      <c r="C2" t="s">
        <v>5</v>
      </c>
      <c r="D2">
        <v>40</v>
      </c>
      <c r="E2" t="s">
        <v>6</v>
      </c>
      <c r="F2" t="s">
        <v>7</v>
      </c>
      <c r="G2" t="s">
        <v>8</v>
      </c>
    </row>
    <row r="3" spans="1:7" x14ac:dyDescent="0.35">
      <c r="A3">
        <v>20</v>
      </c>
      <c r="B3" t="s">
        <v>9</v>
      </c>
      <c r="C3" t="s">
        <v>10</v>
      </c>
      <c r="D3">
        <v>30</v>
      </c>
      <c r="E3" t="s">
        <v>11</v>
      </c>
      <c r="F3" t="b">
        <v>1</v>
      </c>
      <c r="G3" t="s">
        <v>12</v>
      </c>
    </row>
    <row r="4" spans="1:7" x14ac:dyDescent="0.35">
      <c r="A4">
        <v>30</v>
      </c>
      <c r="B4" t="s">
        <v>11</v>
      </c>
      <c r="C4" t="s">
        <v>13</v>
      </c>
      <c r="D4">
        <v>20</v>
      </c>
      <c r="E4" t="s">
        <v>4</v>
      </c>
      <c r="F4" t="b">
        <v>0</v>
      </c>
      <c r="G4" t="s">
        <v>14</v>
      </c>
    </row>
    <row r="5" spans="1:7" x14ac:dyDescent="0.35">
      <c r="A5">
        <v>40</v>
      </c>
      <c r="B5" t="s">
        <v>6</v>
      </c>
      <c r="C5" t="s">
        <v>15</v>
      </c>
      <c r="D5">
        <v>20</v>
      </c>
      <c r="E5" t="s">
        <v>9</v>
      </c>
      <c r="G5" t="s">
        <v>16</v>
      </c>
    </row>
    <row r="6" spans="1:7" x14ac:dyDescent="0.35">
      <c r="A6">
        <v>50</v>
      </c>
      <c r="B6" t="s">
        <v>2</v>
      </c>
      <c r="C6" t="s">
        <v>17</v>
      </c>
      <c r="D6">
        <v>10</v>
      </c>
      <c r="E6" t="s">
        <v>0</v>
      </c>
      <c r="F6" t="e">
        <f>NA()</f>
        <v>#N/A</v>
      </c>
      <c r="G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01"/>
  <sheetViews>
    <sheetView workbookViewId="0"/>
  </sheetViews>
  <sheetFormatPr defaultRowHeight="14.5" x14ac:dyDescent="0.35"/>
  <sheetData>
    <row r="1" spans="1:4" x14ac:dyDescent="0.35">
      <c r="A1">
        <f>MATCH(20,Data!A1:A6)</f>
        <v>3</v>
      </c>
      <c r="D1" t="s">
        <v>20</v>
      </c>
    </row>
    <row r="11" spans="1:4" x14ac:dyDescent="0.35">
      <c r="A11">
        <f>MATCH(20,Data!A1:A6,0)</f>
        <v>2</v>
      </c>
      <c r="D11" t="s">
        <v>21</v>
      </c>
    </row>
    <row r="21" spans="1:4" x14ac:dyDescent="0.35">
      <c r="A21">
        <f>MATCH(21,Data!A1:A6,1)</f>
        <v>3</v>
      </c>
      <c r="D21" t="s">
        <v>22</v>
      </c>
    </row>
    <row r="31" spans="1:4" x14ac:dyDescent="0.35">
      <c r="A31">
        <f>MATCH(21,Data!D1:D6,-1)</f>
        <v>3</v>
      </c>
      <c r="D31" t="s">
        <v>23</v>
      </c>
    </row>
    <row r="41" spans="1:4" x14ac:dyDescent="0.35">
      <c r="A41" t="str">
        <f>VLOOKUP(20,Data!A1:B6,2)</f>
        <v>last20</v>
      </c>
      <c r="D41" t="s">
        <v>24</v>
      </c>
    </row>
    <row r="51" spans="1:4" x14ac:dyDescent="0.35">
      <c r="A51" t="str">
        <f>VLOOKUP(21,Data!A1:B6,2,TRUE)</f>
        <v>last20</v>
      </c>
      <c r="D51" t="s">
        <v>25</v>
      </c>
    </row>
    <row r="61" spans="1:4" x14ac:dyDescent="0.35">
      <c r="A61" t="str">
        <f>VLOOKUP("Al*",Data!C1:G6,5,FALSE)</f>
        <v>N</v>
      </c>
      <c r="D61" t="s">
        <v>26</v>
      </c>
    </row>
    <row r="71" spans="1:4" x14ac:dyDescent="0.35">
      <c r="A71">
        <f>MATCH("B~?ta",Data!C1:C6,0)</f>
        <v>4</v>
      </c>
      <c r="D71" t="s">
        <v>27</v>
      </c>
    </row>
    <row r="81" spans="1:4" x14ac:dyDescent="0.35">
      <c r="A81">
        <f>MATCH("B~*ta",Data!C1:C6,0)</f>
        <v>5</v>
      </c>
      <c r="D81" t="s">
        <v>28</v>
      </c>
    </row>
    <row r="91" spans="1:4" x14ac:dyDescent="0.35">
      <c r="A91">
        <f>_xlfn.XMATCH("Al*",Data!C1:C6,2)</f>
        <v>1</v>
      </c>
      <c r="D91" t="s">
        <v>29</v>
      </c>
    </row>
    <row r="101" spans="1:4" x14ac:dyDescent="0.35">
      <c r="A101">
        <f>_xlfn.XMATCH("Al*",Data!C1:C6,2,-1)</f>
        <v>2</v>
      </c>
      <c r="D101" t="s">
        <v>30</v>
      </c>
    </row>
    <row r="111" spans="1:4" x14ac:dyDescent="0.35">
      <c r="A111" t="str">
        <f>_xlfn.XLOOKUP("B~?ta",Data!C1:C6,Data!B1:B6,,2)</f>
        <v>thirty</v>
      </c>
      <c r="D111" t="s">
        <v>31</v>
      </c>
    </row>
    <row r="121" spans="1:4" x14ac:dyDescent="0.35">
      <c r="A121">
        <f>_xlfn.XMATCH(20,Data!A1:A6,0,2)</f>
        <v>2</v>
      </c>
      <c r="D121" t="s">
        <v>32</v>
      </c>
    </row>
    <row r="131" spans="1:4" x14ac:dyDescent="0.35">
      <c r="A131">
        <f>_xlfn.XMATCH(20,Data!D1:D6,0,-2)</f>
        <v>5</v>
      </c>
      <c r="D131" t="s">
        <v>33</v>
      </c>
    </row>
    <row r="141" spans="1:4" x14ac:dyDescent="0.35">
      <c r="A141">
        <f>_xlfn.XMATCH(21,Data!A1:A6,-1,2)</f>
        <v>3</v>
      </c>
      <c r="D141" t="s">
        <v>34</v>
      </c>
    </row>
    <row r="151" spans="1:4" x14ac:dyDescent="0.35">
      <c r="A151">
        <f>_xlfn.XMATCH(21,Data!D1:D6,1,-2)</f>
        <v>3</v>
      </c>
      <c r="D151" t="s">
        <v>35</v>
      </c>
    </row>
    <row r="161" spans="1:4" x14ac:dyDescent="0.35">
      <c r="A161" t="str">
        <f>_xlfn.XLOOKUP(21,Data!A1:A6,Data!B1:B6,,-1,2)</f>
        <v>last20</v>
      </c>
      <c r="D161" t="s">
        <v>36</v>
      </c>
    </row>
    <row r="171" spans="1:4" x14ac:dyDescent="0.35">
      <c r="A171" t="str">
        <f>_xlfn.XLOOKUP(21,Data!D1:D6,Data!E1:E6,,1,-2)</f>
        <v>thirty</v>
      </c>
      <c r="D171" t="s">
        <v>37</v>
      </c>
    </row>
    <row r="181" spans="1:4" x14ac:dyDescent="0.35">
      <c r="A181" t="e">
        <f>_xlfn.XMATCH("Al*",Data!C1:C6,2,2)</f>
        <v>#VALUE!</v>
      </c>
      <c r="D181" t="s">
        <v>38</v>
      </c>
    </row>
    <row r="191" spans="1:4" x14ac:dyDescent="0.35">
      <c r="A191">
        <f>MATCH(1,Data!F1:F6,0)</f>
        <v>1</v>
      </c>
      <c r="D191" t="s">
        <v>39</v>
      </c>
    </row>
    <row r="201" spans="1:4" x14ac:dyDescent="0.35">
      <c r="A201">
        <f>MATCH("1",Data!F1:F6,0)</f>
        <v>2</v>
      </c>
      <c r="D201" t="s">
        <v>40</v>
      </c>
    </row>
    <row r="211" spans="1:4" x14ac:dyDescent="0.35">
      <c r="A211">
        <f>MATCH(TRUE,Data!F1:F6,0)</f>
        <v>3</v>
      </c>
      <c r="D211" t="s">
        <v>41</v>
      </c>
    </row>
    <row r="221" spans="1:4" x14ac:dyDescent="0.35">
      <c r="A221">
        <f>MATCH(FALSE,Data!F1:F6,0)</f>
        <v>4</v>
      </c>
      <c r="D221" t="s">
        <v>42</v>
      </c>
    </row>
    <row r="231" spans="1:4" x14ac:dyDescent="0.35">
      <c r="A231" t="str">
        <f>_xlfn.XLOOKUP(1,Data!F1:F6,Data!G1:G6)</f>
        <v>N</v>
      </c>
      <c r="D231" t="s">
        <v>43</v>
      </c>
    </row>
    <row r="241" spans="1:4" x14ac:dyDescent="0.35">
      <c r="A241" t="str">
        <f>_xlfn.XLOOKUP("1",Data!F1:F6,Data!G1:G6)</f>
        <v>T</v>
      </c>
      <c r="D241" t="s">
        <v>44</v>
      </c>
    </row>
    <row r="251" spans="1:4" x14ac:dyDescent="0.35">
      <c r="A251" t="str">
        <f>_xlfn.XLOOKUP(TRUE,Data!F1:F6,Data!G1:G6)</f>
        <v>B</v>
      </c>
      <c r="D251" t="s">
        <v>45</v>
      </c>
    </row>
    <row r="261" spans="1:4" x14ac:dyDescent="0.35">
      <c r="A261">
        <f>MATCH(30,{10,20,30},0)</f>
        <v>3</v>
      </c>
      <c r="D261" t="s">
        <v>46</v>
      </c>
    </row>
    <row r="271" spans="1:4" x14ac:dyDescent="0.35">
      <c r="A271">
        <f>SUM(INDEX(Data!A1:B6,0,1))</f>
        <v>170</v>
      </c>
      <c r="D271" t="s">
        <v>47</v>
      </c>
    </row>
    <row r="281" spans="1:4" x14ac:dyDescent="0.35">
      <c r="A281">
        <f>SUM(INDEX(Data!A1:B6,3,0))</f>
        <v>20</v>
      </c>
      <c r="D281" t="s">
        <v>48</v>
      </c>
    </row>
    <row r="291" spans="1:4" x14ac:dyDescent="0.35">
      <c r="A291" cm="1">
        <f t="array" ref="A291:A296">INDEX(Data!A1:B6,0,1)</f>
        <v>10</v>
      </c>
      <c r="D291" t="s">
        <v>49</v>
      </c>
    </row>
    <row r="292" spans="1:4" x14ac:dyDescent="0.35">
      <c r="A292">
        <v>20</v>
      </c>
    </row>
    <row r="293" spans="1:4" x14ac:dyDescent="0.35">
      <c r="A293">
        <v>20</v>
      </c>
    </row>
    <row r="294" spans="1:4" x14ac:dyDescent="0.35">
      <c r="A294">
        <v>30</v>
      </c>
    </row>
    <row r="295" spans="1:4" x14ac:dyDescent="0.35">
      <c r="A295">
        <v>40</v>
      </c>
    </row>
    <row r="296" spans="1:4" x14ac:dyDescent="0.35">
      <c r="A296">
        <v>50</v>
      </c>
    </row>
    <row r="301" spans="1:4" x14ac:dyDescent="0.35">
      <c r="A301" cm="1">
        <f t="array" ref="A301:B301">INDEX(Data!A1:B6,3,0)</f>
        <v>20</v>
      </c>
      <c r="B301" t="str">
        <v>last20</v>
      </c>
      <c r="D301" t="s">
        <v>50</v>
      </c>
    </row>
    <row r="311" spans="1:4" x14ac:dyDescent="0.35">
      <c r="A311" cm="1">
        <f t="array" ref="A311:A312">INDEX({10,20;30,40},0,2)</f>
        <v>20</v>
      </c>
      <c r="D311" t="s">
        <v>51</v>
      </c>
    </row>
    <row r="312" spans="1:4" x14ac:dyDescent="0.35">
      <c r="A312">
        <v>40</v>
      </c>
    </row>
    <row r="321" spans="1:4" x14ac:dyDescent="0.35">
      <c r="A321" t="str" cm="1">
        <f t="array" ref="A321:B321">_xlfn.XLOOKUP(20,Data!A1:A6,Data!B1:C6)</f>
        <v>first20</v>
      </c>
      <c r="B321" t="str">
        <v>Alpine</v>
      </c>
      <c r="D321" t="s">
        <v>52</v>
      </c>
    </row>
    <row r="331" spans="1:4" x14ac:dyDescent="0.35">
      <c r="A331">
        <f>IFERROR(SUM(INDEX(Data!A1:B6,0,NA())),99)</f>
        <v>99</v>
      </c>
      <c r="D331" t="s">
        <v>53</v>
      </c>
    </row>
    <row r="341" spans="1:4" x14ac:dyDescent="0.35">
      <c r="A341" cm="1">
        <f t="array" ref="A341">Calc+Nested</f>
        <v>511</v>
      </c>
      <c r="D341" t="s">
        <v>54</v>
      </c>
    </row>
    <row r="351" spans="1:4" x14ac:dyDescent="0.35">
      <c r="A351" t="e">
        <f>VLOOKUP(21,Data!A1:B6,2,)</f>
        <v>#N/A</v>
      </c>
      <c r="D351" t="s">
        <v>55</v>
      </c>
    </row>
    <row r="361" spans="1:4" x14ac:dyDescent="0.35">
      <c r="A361">
        <f>MATCH(20,Data!A1:A6,)</f>
        <v>2</v>
      </c>
      <c r="D361" t="s">
        <v>56</v>
      </c>
    </row>
    <row r="371" spans="1:4" x14ac:dyDescent="0.35">
      <c r="A371" t="str">
        <f>VLOOKUP(21,Data!A1:B6,2,0.00000001)</f>
        <v>last20</v>
      </c>
      <c r="D371" t="s">
        <v>57</v>
      </c>
    </row>
    <row r="381" spans="1:4" x14ac:dyDescent="0.35">
      <c r="A381" t="e">
        <f>INDEX(Data!A1:B6,3)</f>
        <v>#REF!</v>
      </c>
      <c r="D381" t="s">
        <v>58</v>
      </c>
    </row>
    <row r="391" spans="1:4" x14ac:dyDescent="0.35">
      <c r="A391" cm="1">
        <f t="array" ref="A391:B391">INDEX(Data!A1:B6,3,)</f>
        <v>20</v>
      </c>
      <c r="B391" t="str">
        <v>last20</v>
      </c>
      <c r="D391" t="s">
        <v>59</v>
      </c>
    </row>
    <row r="401" spans="1:4" x14ac:dyDescent="0.35">
      <c r="A401" t="str" cm="1">
        <f t="array" ref="A401:A406">INDEX(Data!A1:B6,,2)</f>
        <v>ten</v>
      </c>
      <c r="D401" t="s">
        <v>60</v>
      </c>
    </row>
    <row r="402" spans="1:4" x14ac:dyDescent="0.35">
      <c r="A402" t="str">
        <v>first20</v>
      </c>
    </row>
    <row r="403" spans="1:4" x14ac:dyDescent="0.35">
      <c r="A403" t="str">
        <v>last20</v>
      </c>
    </row>
    <row r="404" spans="1:4" x14ac:dyDescent="0.35">
      <c r="A404" t="str">
        <v>thirty</v>
      </c>
    </row>
    <row r="405" spans="1:4" x14ac:dyDescent="0.35">
      <c r="A405" t="str">
        <v>forty</v>
      </c>
    </row>
    <row r="406" spans="1:4" x14ac:dyDescent="0.35">
      <c r="A406" t="str">
        <v>fifty</v>
      </c>
    </row>
    <row r="411" spans="1:4" x14ac:dyDescent="0.35">
      <c r="A411" cm="1">
        <f t="array" ref="A411">INDEX(Data!A1:B6,1.9,1)</f>
        <v>10</v>
      </c>
      <c r="D411" t="s">
        <v>61</v>
      </c>
    </row>
    <row r="421" spans="1:4" x14ac:dyDescent="0.35">
      <c r="A421" cm="1">
        <f t="array" ref="A421">INDEX(Data!A1:B6,"2",1)</f>
        <v>20</v>
      </c>
      <c r="D421" t="s">
        <v>62</v>
      </c>
    </row>
    <row r="431" spans="1:4" x14ac:dyDescent="0.35">
      <c r="A431" cm="1">
        <f t="array" ref="A431">INDEX(Data!A1:B6,TRUE,1)</f>
        <v>10</v>
      </c>
      <c r="D431" t="s">
        <v>63</v>
      </c>
    </row>
    <row r="441" spans="1:4" x14ac:dyDescent="0.35">
      <c r="A441" t="str">
        <f>VLOOKUP(20,Data!A1:B6,2.9,FALSE)</f>
        <v>first20</v>
      </c>
      <c r="D441" t="s">
        <v>64</v>
      </c>
    </row>
    <row r="451" spans="1:4" x14ac:dyDescent="0.35">
      <c r="A451">
        <f>SUM(INDEX((Data!A1:A2,Data!A4:A6),0,1,2))</f>
        <v>120</v>
      </c>
      <c r="D451" t="s">
        <v>65</v>
      </c>
    </row>
    <row r="461" spans="1:4" x14ac:dyDescent="0.35">
      <c r="A461" t="e">
        <f>MATCH("A",{1,2,3},1)</f>
        <v>#N/A</v>
      </c>
      <c r="D461" t="s">
        <v>66</v>
      </c>
    </row>
    <row r="471" spans="1:4" x14ac:dyDescent="0.35">
      <c r="A471" t="e">
        <f>MATCH(0,{"A","B"},1)</f>
        <v>#N/A</v>
      </c>
      <c r="D471" t="s">
        <v>67</v>
      </c>
    </row>
    <row r="481" spans="1:4" x14ac:dyDescent="0.35">
      <c r="A481">
        <f>INDEX(Data!F1:F6,5)</f>
        <v>0</v>
      </c>
      <c r="D481" t="s">
        <v>68</v>
      </c>
    </row>
    <row r="491" spans="1:4" x14ac:dyDescent="0.35">
      <c r="A491" t="b">
        <f>ISBLANK(INDEX(Data!F1:F6,5))</f>
        <v>1</v>
      </c>
      <c r="D491" t="s">
        <v>69</v>
      </c>
    </row>
    <row r="501" spans="1:4" x14ac:dyDescent="0.35">
      <c r="A501" t="b">
        <f>INDEX(Data!F1:F6,5)=""</f>
        <v>1</v>
      </c>
      <c r="D501" t="s">
        <v>70</v>
      </c>
    </row>
    <row r="511" spans="1:4" x14ac:dyDescent="0.35">
      <c r="A511" t="str">
        <f>INDEX(Data!F1:F6,5)&amp;"x"</f>
        <v>x</v>
      </c>
      <c r="D511" t="s">
        <v>71</v>
      </c>
    </row>
    <row r="521" spans="1:4" x14ac:dyDescent="0.35">
      <c r="A521">
        <f>LEN(INDEX(Data!F1:F6,5))</f>
        <v>0</v>
      </c>
      <c r="D521" t="s">
        <v>72</v>
      </c>
    </row>
    <row r="531" spans="1:4" x14ac:dyDescent="0.35">
      <c r="A531" t="b">
        <f>ISNUMBER(INDEX(Data!F1:F6,5))</f>
        <v>0</v>
      </c>
      <c r="D531" t="s">
        <v>73</v>
      </c>
    </row>
    <row r="541" spans="1:4" x14ac:dyDescent="0.35">
      <c r="A541" t="b">
        <f ca="1">ISBLANK(OFFSET(Data!F1,4,0))</f>
        <v>1</v>
      </c>
      <c r="D541" t="s">
        <v>74</v>
      </c>
    </row>
    <row r="551" spans="1:4" x14ac:dyDescent="0.35">
      <c r="A551" t="b">
        <f ca="1">OFFSET(Data!F1,4,0)=""</f>
        <v>1</v>
      </c>
      <c r="D551" t="s">
        <v>75</v>
      </c>
    </row>
    <row r="561" spans="1:4" x14ac:dyDescent="0.35">
      <c r="A561" t="str">
        <f ca="1">OFFSET(Data!F1,4,0)&amp;"x"</f>
        <v>x</v>
      </c>
      <c r="D561" t="s">
        <v>76</v>
      </c>
    </row>
    <row r="571" spans="1:4" x14ac:dyDescent="0.35">
      <c r="A571" t="b">
        <f>ISBLANK(_xlfn.XLOOKUP(40,Data!A1:A6,Data!F1:F6))</f>
        <v>1</v>
      </c>
      <c r="D571" t="s">
        <v>77</v>
      </c>
    </row>
    <row r="581" spans="1:4" x14ac:dyDescent="0.35">
      <c r="A581" t="b">
        <f>_xlfn.XLOOKUP(40,Data!A1:A6,Data!F1:F6)=""</f>
        <v>1</v>
      </c>
      <c r="D581" t="s">
        <v>78</v>
      </c>
    </row>
    <row r="591" spans="1:4" x14ac:dyDescent="0.35">
      <c r="A591" t="str">
        <f>_xlfn.XLOOKUP(40,Data!A1:A6,Data!F1:F6)&amp;"x"</f>
        <v>x</v>
      </c>
      <c r="D591" t="s">
        <v>79</v>
      </c>
    </row>
    <row r="601" spans="1:4" x14ac:dyDescent="0.35">
      <c r="A601" t="b">
        <f>ISBLANK(VLOOKUP(40,Data!A1:F6,6,FALSE))</f>
        <v>1</v>
      </c>
      <c r="D601" t="s">
        <v>80</v>
      </c>
    </row>
    <row r="611" spans="1:4" x14ac:dyDescent="0.35">
      <c r="A611" t="b">
        <f>VLOOKUP(40,Data!A1:F6,6,FALSE)=""</f>
        <v>1</v>
      </c>
      <c r="D611" t="s">
        <v>81</v>
      </c>
    </row>
    <row r="621" spans="1:4" x14ac:dyDescent="0.35">
      <c r="A621" t="str">
        <f>VLOOKUP(40,Data!A1:F6,6,FALSE)&amp;"x"</f>
        <v>x</v>
      </c>
      <c r="D621" t="s">
        <v>82</v>
      </c>
    </row>
    <row r="631" spans="1:4" x14ac:dyDescent="0.35">
      <c r="A631" t="b">
        <f>ISBLANK(IFERROR(INDEX(Data!F1:F6,5),77))</f>
        <v>1</v>
      </c>
      <c r="D631" t="s">
        <v>83</v>
      </c>
    </row>
    <row r="641" spans="1:4" x14ac:dyDescent="0.35">
      <c r="A641" t="str">
        <f>IFERROR(INDEX(Data!F1:F6,5),77)&amp;"x"</f>
        <v>x</v>
      </c>
      <c r="D641" t="s">
        <v>84</v>
      </c>
    </row>
    <row r="651" spans="1:4" x14ac:dyDescent="0.35">
      <c r="A651" t="b">
        <f>ISBLANK(IF(TRUE,INDEX(Data!F1:F6,5),77))</f>
        <v>1</v>
      </c>
      <c r="D651" t="s">
        <v>85</v>
      </c>
    </row>
    <row r="661" spans="1:4" x14ac:dyDescent="0.35">
      <c r="A661" t="str">
        <f>IF(TRUE,INDEX(Data!F1:F6,5),77)&amp;"x"</f>
        <v>x</v>
      </c>
      <c r="D661" t="s">
        <v>86</v>
      </c>
    </row>
    <row r="671" spans="1:4" x14ac:dyDescent="0.35">
      <c r="A671" t="b">
        <f>ISBLANK(CHOOSE(1,INDEX(Data!F1:F6,5)))</f>
        <v>1</v>
      </c>
      <c r="D671" t="s">
        <v>87</v>
      </c>
    </row>
    <row r="681" spans="1:4" x14ac:dyDescent="0.35">
      <c r="A681">
        <f>COUNT(INDEX(Data!F1:F6,5))</f>
        <v>0</v>
      </c>
      <c r="D681" t="s">
        <v>88</v>
      </c>
    </row>
    <row r="691" spans="1:4" x14ac:dyDescent="0.35">
      <c r="A691">
        <f>COUNTA(INDEX(Data!F1:F6,5))</f>
        <v>0</v>
      </c>
      <c r="D691" t="s">
        <v>89</v>
      </c>
    </row>
    <row r="701" spans="1:4" x14ac:dyDescent="0.35">
      <c r="A701">
        <f>COUNTBLANK(INDEX(Data!F1:F6,5))</f>
        <v>1</v>
      </c>
      <c r="D701" t="s">
        <v>90</v>
      </c>
    </row>
    <row r="711" spans="1:4" x14ac:dyDescent="0.35">
      <c r="A711">
        <f>AVERAGE(INDEX(Data!F1:F6,5),2)</f>
        <v>2</v>
      </c>
      <c r="D711" t="s">
        <v>91</v>
      </c>
    </row>
    <row r="721" spans="1:4" x14ac:dyDescent="0.35">
      <c r="A721" t="str">
        <f>TEXT(INDEX(Data!F1:F6,5),"0")</f>
        <v>0</v>
      </c>
      <c r="D721" t="s">
        <v>92</v>
      </c>
    </row>
    <row r="731" spans="1:4" x14ac:dyDescent="0.35">
      <c r="A731">
        <f>VALUE(INDEX(Data!F1:F6,5))</f>
        <v>0</v>
      </c>
      <c r="D731" t="s">
        <v>93</v>
      </c>
    </row>
    <row r="741" spans="1:4" x14ac:dyDescent="0.35">
      <c r="A741">
        <f>CHOOSE(2,10,,20)</f>
        <v>0</v>
      </c>
      <c r="D741" t="s">
        <v>94</v>
      </c>
    </row>
    <row r="751" spans="1:4" x14ac:dyDescent="0.35">
      <c r="A751">
        <f>IF(TRUE,,7)</f>
        <v>0</v>
      </c>
      <c r="D751" t="s">
        <v>95</v>
      </c>
    </row>
    <row r="761" spans="1:4" x14ac:dyDescent="0.35">
      <c r="A761">
        <f>MATCH(2,{1,#N/A,2},0)</f>
        <v>3</v>
      </c>
      <c r="D761" t="s">
        <v>96</v>
      </c>
    </row>
    <row r="771" spans="1:4" x14ac:dyDescent="0.35">
      <c r="A771" cm="1">
        <f t="array" ref="A771">_xlfn.XLOOKUP(2,{1,#N/A,2},{10,20,30})</f>
        <v>30</v>
      </c>
      <c r="D771" t="s">
        <v>97</v>
      </c>
    </row>
    <row r="781" spans="1:4" x14ac:dyDescent="0.35">
      <c r="A781">
        <f ca="1">RANDBETWEEN(INDEX(Data!F1:F6,5),0)</f>
        <v>0</v>
      </c>
      <c r="D781" t="s">
        <v>98</v>
      </c>
    </row>
    <row r="791" spans="1:4" x14ac:dyDescent="0.35">
      <c r="A791" s="1">
        <f>IPMT(INDEX(Data!F1:F6,5),1,2,100)</f>
        <v>0</v>
      </c>
      <c r="D791" t="s">
        <v>99</v>
      </c>
    </row>
    <row r="801" spans="1:4" x14ac:dyDescent="0.35">
      <c r="A801" s="1">
        <f>PPMT(INDEX(Data!F1:F6,5),1,2,100)</f>
        <v>-50</v>
      </c>
      <c r="D801" t="s">
        <v>100</v>
      </c>
    </row>
    <row r="811" spans="1:4" x14ac:dyDescent="0.35">
      <c r="A811">
        <f>MATCH(Keys!H1,Keys!A1:A3,0)</f>
        <v>3</v>
      </c>
      <c r="D811" t="s">
        <v>101</v>
      </c>
    </row>
    <row r="821" spans="1:4" x14ac:dyDescent="0.35">
      <c r="A821">
        <f>_xlfn.XMATCH(Keys!H1,Keys!A1:A3)</f>
        <v>1</v>
      </c>
      <c r="D821" t="s">
        <v>102</v>
      </c>
    </row>
    <row r="831" spans="1:4" x14ac:dyDescent="0.35">
      <c r="A831">
        <f>VLOOKUP(Keys!H1,Keys!A1:B3,2,FALSE)</f>
        <v>200</v>
      </c>
      <c r="D831" t="s">
        <v>103</v>
      </c>
    </row>
    <row r="841" spans="1:4" x14ac:dyDescent="0.35">
      <c r="A841">
        <f>HLOOKUP(Keys!H1,Keys!D1:F2,2,FALSE)</f>
        <v>200</v>
      </c>
      <c r="D841" t="s">
        <v>104</v>
      </c>
    </row>
    <row r="851" spans="1:4" x14ac:dyDescent="0.35">
      <c r="A851">
        <f>_xlfn.XLOOKUP(Keys!H1,Keys!A1:A3,Keys!B1:B3)</f>
        <v>100</v>
      </c>
      <c r="D851" t="s">
        <v>105</v>
      </c>
    </row>
    <row r="861" spans="1:4" x14ac:dyDescent="0.35">
      <c r="A861">
        <f>IFERROR(MATCH(Keys!H1,Keys!A1:A2,0),77)</f>
        <v>77</v>
      </c>
      <c r="D861" t="s">
        <v>106</v>
      </c>
    </row>
    <row r="871" spans="1:4" x14ac:dyDescent="0.35">
      <c r="A871">
        <f>IFERROR(_xlfn.XMATCH(Keys!H1,Keys!A1:A2),77)</f>
        <v>1</v>
      </c>
      <c r="D871" t="s">
        <v>107</v>
      </c>
    </row>
    <row r="881" spans="1:4" x14ac:dyDescent="0.35">
      <c r="A881">
        <f>IFERROR(VLOOKUP(Keys!H1,Keys!A1:B2,2,FALSE),77)</f>
        <v>77</v>
      </c>
      <c r="D881" t="s">
        <v>108</v>
      </c>
    </row>
    <row r="891" spans="1:4" x14ac:dyDescent="0.35">
      <c r="A891">
        <f>IFERROR(HLOOKUP(Keys!H1,Keys!D1:E2,2,FALSE),77)</f>
        <v>77</v>
      </c>
      <c r="D891" t="s">
        <v>109</v>
      </c>
    </row>
    <row r="901" spans="1:4" x14ac:dyDescent="0.35">
      <c r="A901">
        <f>IFERROR(_xlfn.XLOOKUP(Keys!H1,Keys!A1:A2,Keys!B1:B2),77)</f>
        <v>100</v>
      </c>
      <c r="D901" t="s">
        <v>110</v>
      </c>
    </row>
    <row r="911" spans="1:4" x14ac:dyDescent="0.35">
      <c r="A911" t="e">
        <f>_xlfn.XMATCH(Keys!H1,Keys!J1:J3,0,2)</f>
        <v>#N/A</v>
      </c>
      <c r="D911" t="s">
        <v>111</v>
      </c>
    </row>
    <row r="921" spans="1:4" x14ac:dyDescent="0.35">
      <c r="A921" t="e">
        <f>_xlfn.XMATCH(Keys!H1,Keys!L1:L3,0,-2)</f>
        <v>#N/A</v>
      </c>
      <c r="D921" t="s">
        <v>112</v>
      </c>
    </row>
    <row r="931" spans="1:4" x14ac:dyDescent="0.35">
      <c r="A931" t="e">
        <f>_xlfn.XLOOKUP(Keys!H1,Keys!J1:J3,Keys!B1:B3,,0,2)</f>
        <v>#N/A</v>
      </c>
      <c r="D931" t="s">
        <v>113</v>
      </c>
    </row>
    <row r="941" spans="1:4" x14ac:dyDescent="0.35">
      <c r="A941" t="e">
        <f>_xlfn.XLOOKUP(Keys!H1,Keys!L1:L3,Keys!B1:B3,,0,-2)</f>
        <v>#N/A</v>
      </c>
      <c r="D941" t="s">
        <v>114</v>
      </c>
    </row>
    <row r="951" spans="1:4" x14ac:dyDescent="0.35">
      <c r="A951">
        <f>MATCH(0,Keys!A1:A5,0)</f>
        <v>3</v>
      </c>
      <c r="D951" t="s">
        <v>115</v>
      </c>
    </row>
    <row r="961" spans="1:4" x14ac:dyDescent="0.35">
      <c r="A961">
        <f>MATCH("0",Keys!A1:A5,0)</f>
        <v>4</v>
      </c>
      <c r="D961" t="s">
        <v>116</v>
      </c>
    </row>
    <row r="971" spans="1:4" x14ac:dyDescent="0.35">
      <c r="A971">
        <f>MATCH(FALSE,Keys!A1:A5,0)</f>
        <v>5</v>
      </c>
      <c r="D971" t="s">
        <v>117</v>
      </c>
    </row>
    <row r="981" spans="1:4" x14ac:dyDescent="0.35">
      <c r="A981">
        <f>MATCH(INDEX(Keys!H1:H2,1),Keys!A1:A3,0)</f>
        <v>3</v>
      </c>
      <c r="D981" t="s">
        <v>118</v>
      </c>
    </row>
    <row r="991" spans="1:4" x14ac:dyDescent="0.35">
      <c r="A991">
        <f ca="1">MATCH(OFFSET(Keys!H1,0,0),Keys!A1:A3,0)</f>
        <v>3</v>
      </c>
      <c r="D991" t="s">
        <v>119</v>
      </c>
    </row>
    <row r="1001" spans="1:4" x14ac:dyDescent="0.35">
      <c r="A1001">
        <f>MATCH(EmptyKey,Keys!A1:A3,0)</f>
        <v>3</v>
      </c>
      <c r="D1001" t="s">
        <v>120</v>
      </c>
    </row>
    <row r="1011" spans="1:1" x14ac:dyDescent="0.35">
      <c r="A1011" t="b">
        <f>ISBLANK(HLOOKUP(1,Data!A1:G6,5,FALSE))</f>
        <v>1</v>
      </c>
    </row>
    <row r="1021" spans="1:1" x14ac:dyDescent="0.35">
      <c r="A1021" t="str">
        <f>HLOOKUP(1,Data!A1:G6,5,FALSE)&amp;"x"</f>
        <v>x</v>
      </c>
    </row>
    <row r="1031" spans="1:1" x14ac:dyDescent="0.35">
      <c r="A1031">
        <f>COUNT(VLOOKUP(40,Data!A1:F6,6,FALSE))</f>
        <v>1</v>
      </c>
    </row>
    <row r="1041" spans="1:1" x14ac:dyDescent="0.35">
      <c r="A1041" t="b">
        <f>ISBLANK(IFERROR(NA(),Data!F5))</f>
        <v>1</v>
      </c>
    </row>
    <row r="1051" spans="1:1" x14ac:dyDescent="0.35">
      <c r="A1051" t="b">
        <f>ISBLANK(_xlfn.IFNA(INDEX(Data!F1:F6,5),77))</f>
        <v>1</v>
      </c>
    </row>
    <row r="1061" spans="1:1" x14ac:dyDescent="0.35">
      <c r="A1061" t="str" cm="1">
        <f t="array" ref="A1061">_xlfn.IFS(TRUE,INDEX(Data!F1:F6,5))&amp;"x"</f>
        <v>x</v>
      </c>
    </row>
    <row r="1071" spans="1:1" x14ac:dyDescent="0.35">
      <c r="A1071" t="str" cm="1">
        <f t="array" ref="A1071">_xlfn.SWITCH(1,1,INDEX(Data!F1:F6,5))&amp;"x"</f>
        <v>x</v>
      </c>
    </row>
    <row r="1081" spans="1:1" x14ac:dyDescent="0.35">
      <c r="A1081" t="str">
        <f>IF(FALSE,77,INDEX(Data!F1:F6,5))&amp;"x"</f>
        <v>x</v>
      </c>
    </row>
    <row r="1091" spans="1:1" x14ac:dyDescent="0.35">
      <c r="A1091" t="b">
        <f>ISBLANK(_xlfn.XLOOKUP(999,Data!A1:A6,Data!F1:F6,Data!F5))</f>
        <v>1</v>
      </c>
    </row>
    <row r="1101" spans="1:1" x14ac:dyDescent="0.35">
      <c r="A1101" t="str">
        <f>_xlfn.XLOOKUP(999,Data!A1:A6,Data!F1:F6,Data!F5)&amp;"x"</f>
        <v>x</v>
      </c>
    </row>
    <row r="1111" spans="1:1" x14ac:dyDescent="0.35">
      <c r="A1111" t="e">
        <f>_xlfn.XMATCH(Keys!H1,{0;""},0)</f>
        <v>#N/A</v>
      </c>
    </row>
    <row r="1121" spans="1:1" x14ac:dyDescent="0.35">
      <c r="A1121">
        <f>_xlfn.XMATCH(Keys!H1,Keys!A1:A6,0,-1)</f>
        <v>6</v>
      </c>
    </row>
    <row r="1131" spans="1:1" x14ac:dyDescent="0.35">
      <c r="A1131">
        <f>_xlfn.XLOOKUP(Keys!H1,Keys!A1:A6,Keys!B1:B6,,0,-1)</f>
        <v>0</v>
      </c>
    </row>
    <row r="1141" spans="1:1" x14ac:dyDescent="0.35">
      <c r="A1141" t="e">
        <f>_xlfn.XMATCH("",Keys!A1:A3)</f>
        <v>#N/A</v>
      </c>
    </row>
    <row r="1151" spans="1:1" x14ac:dyDescent="0.35">
      <c r="A1151">
        <f>_xlfn.XMATCH(,Keys!A1:A3)</f>
        <v>1</v>
      </c>
    </row>
    <row r="1161" spans="1:1" x14ac:dyDescent="0.35">
      <c r="A1161">
        <f>_xlfn.XLOOKUP(,Keys!A1:A3,Keys!B1:B3)</f>
        <v>100</v>
      </c>
    </row>
    <row r="1171" spans="1:1" x14ac:dyDescent="0.35">
      <c r="A1171">
        <f>MATCH(,Keys!A1:A3,0)</f>
        <v>3</v>
      </c>
    </row>
    <row r="1181" spans="1:1" x14ac:dyDescent="0.35">
      <c r="A1181">
        <f>VLOOKUP(,Keys!A1:B3,2,FALSE)</f>
        <v>200</v>
      </c>
    </row>
    <row r="1191" spans="1:1" x14ac:dyDescent="0.35">
      <c r="A1191" t="e">
        <f>_xlfn.XMATCH("Al*",Data!C1:C6,2,-2)</f>
        <v>#VALUE!</v>
      </c>
    </row>
    <row r="1201" spans="1:1" x14ac:dyDescent="0.35">
      <c r="A1201" t="e">
        <f>_xlfn.XLOOKUP("Al*",Data!C1:C6,Data!B1:B6,,2,2)</f>
        <v>#VALUE!</v>
      </c>
    </row>
    <row r="1211" spans="1:1" x14ac:dyDescent="0.35">
      <c r="A1211" t="e">
        <f>_xlfn.XLOOKUP("Al*",Data!C1:C6,Data!B1:B6,,2,-2)</f>
        <v>#VALUE!</v>
      </c>
    </row>
    <row r="1221" spans="1:1" x14ac:dyDescent="0.35">
      <c r="A1221" t="e">
        <f>_xlfn.XMATCH("Alpha",Data!C1:C6,2,2)</f>
        <v>#VALUE!</v>
      </c>
    </row>
    <row r="1231" spans="1:1" x14ac:dyDescent="0.35">
      <c r="A1231">
        <f>_xlfn.XMATCH(2,{1;#N/A;2},0)</f>
        <v>3</v>
      </c>
    </row>
    <row r="1241" spans="1:1" x14ac:dyDescent="0.35">
      <c r="A1241">
        <f>VLOOKUP(2,{1,10;#N/A,20;2,30},2,FALSE)</f>
        <v>30</v>
      </c>
    </row>
    <row r="1251" spans="1:1" x14ac:dyDescent="0.35">
      <c r="A1251">
        <f>HLOOKUP(2,{1,#N/A,2;10,20,30},2,FALSE)</f>
        <v>30</v>
      </c>
    </row>
    <row r="1261" spans="1:1" x14ac:dyDescent="0.35">
      <c r="A1261">
        <f>_xlfn.XMATCH(2,{2;#N/A;1},0,-1)</f>
        <v>1</v>
      </c>
    </row>
    <row r="1271" spans="1:1" x14ac:dyDescent="0.35">
      <c r="A1271" cm="1">
        <f t="array" ref="A1271">_xlfn.XLOOKUP(2,{2;#N/A;1},{30;20;10},,0,-1)</f>
        <v>30</v>
      </c>
    </row>
    <row r="1281" spans="1:1" x14ac:dyDescent="0.35">
      <c r="A1281">
        <f>VLOOKUP(2,{1,10;#N/A,20;3,30},2,TRUE)</f>
        <v>10</v>
      </c>
    </row>
    <row r="1291" spans="1:1" x14ac:dyDescent="0.35">
      <c r="A1291" t="str">
        <f>_xlfn.XLOOKUP(20,Data!A1:A6,Data!B1:B6,,0,2)</f>
        <v>first20</v>
      </c>
    </row>
    <row r="1301" spans="1:1" x14ac:dyDescent="0.35">
      <c r="A1301">
        <f>_xlfn.XMATCH(20,Data!A1:A6,-1,2)</f>
        <v>2</v>
      </c>
    </row>
    <row r="1311" spans="1:1" x14ac:dyDescent="0.35">
      <c r="A1311">
        <f>_xlfn.XMATCH(20,Data!A1:A6,1,2)</f>
        <v>2</v>
      </c>
    </row>
    <row r="1321" spans="1:1" x14ac:dyDescent="0.35">
      <c r="A1321" t="str">
        <f>_xlfn.XLOOKUP(20,Data!D1:D6,Data!E1:E6,,0,-2)</f>
        <v>last20</v>
      </c>
    </row>
    <row r="1331" spans="1:1" x14ac:dyDescent="0.35">
      <c r="A1331">
        <f>_xlfn.XMATCH(2,{1;2;2;2;3},0,2)</f>
        <v>2</v>
      </c>
    </row>
    <row r="1341" spans="1:1" x14ac:dyDescent="0.35">
      <c r="A1341">
        <f>_xlfn.XMATCH(2,{3;2;2;2;1},0,-2)</f>
        <v>4</v>
      </c>
    </row>
    <row r="1351" spans="1:1" x14ac:dyDescent="0.35">
      <c r="A1351">
        <f>_xlfn.XMATCH(2,{1;2;2;2;2;2;3},0,2)</f>
        <v>2</v>
      </c>
    </row>
    <row r="1361" spans="1:1" x14ac:dyDescent="0.35">
      <c r="A1361">
        <f>_xlfn.XMATCH(2,{3;2;2;2;2;2;1},0,-2)</f>
        <v>6</v>
      </c>
    </row>
    <row r="1371" spans="1:1" x14ac:dyDescent="0.35">
      <c r="A1371" t="e">
        <f>VALUE("")</f>
        <v>#VALUE!</v>
      </c>
    </row>
    <row r="1381" spans="1:1" x14ac:dyDescent="0.35">
      <c r="A1381" t="e">
        <f>VALUE(TRUE)</f>
        <v>#VALUE!</v>
      </c>
    </row>
    <row r="1391" spans="1:1" x14ac:dyDescent="0.35">
      <c r="A1391">
        <f>VALUE(1)</f>
        <v>1</v>
      </c>
    </row>
    <row r="1401" spans="1:1" x14ac:dyDescent="0.35">
      <c r="A1401">
        <f>VALUE(Data!F5)</f>
        <v>0</v>
      </c>
    </row>
    <row r="1411" spans="1:2" x14ac:dyDescent="0.35">
      <c r="A1411" t="e" cm="1">
        <f t="array" ref="A1411">INDEX(Data!A1:B6,0)</f>
        <v>#REF!</v>
      </c>
    </row>
    <row r="1421" spans="1:2" x14ac:dyDescent="0.35">
      <c r="A1421" cm="1">
        <f t="array" ref="A1421:B1421">INDEX({10,20;30,40},1)</f>
        <v>10</v>
      </c>
      <c r="B1421">
        <v>20</v>
      </c>
    </row>
    <row r="1431" spans="1:1" x14ac:dyDescent="0.35">
      <c r="A1431" t="b" cm="1">
        <f t="array" ref="A1431">ISBLANK(_xlfn.IFS(TRUE,Data!F5))</f>
        <v>1</v>
      </c>
    </row>
    <row r="1441" spans="1:1" x14ac:dyDescent="0.35">
      <c r="A1441" t="b" cm="1">
        <f t="array" ref="A1441">ISBLANK(_xlfn.SWITCH(1,1,Data!F5))</f>
        <v>1</v>
      </c>
    </row>
    <row r="1451" spans="1:1" x14ac:dyDescent="0.35">
      <c r="A1451">
        <f>COUNT(IF(TRUE,Data!F5,77))</f>
        <v>0</v>
      </c>
    </row>
    <row r="1461" spans="1:1" x14ac:dyDescent="0.35">
      <c r="A1461">
        <f>AVERAGE(IF(TRUE,Data!F5,77),2)</f>
        <v>2</v>
      </c>
    </row>
    <row r="1471" spans="1:1" x14ac:dyDescent="0.35">
      <c r="A1471">
        <f>COUNT(IFERROR(Data!F5,77))</f>
        <v>1</v>
      </c>
    </row>
    <row r="1481" spans="1:1" x14ac:dyDescent="0.35">
      <c r="A1481">
        <f>COUNT(_xlfn.XLOOKUP(40,Data!A1:A6,Data!F1:F6))</f>
        <v>0</v>
      </c>
    </row>
    <row r="1491" spans="1:1" x14ac:dyDescent="0.35">
      <c r="A1491">
        <f>COUNT(IFERROR(_xlfn.XLOOKUP(40,Data!A1:A6,Data!F1:F6),77))</f>
        <v>1</v>
      </c>
    </row>
    <row r="1501" spans="1:1" x14ac:dyDescent="0.35">
      <c r="A1501">
        <f>_xlfn.XMATCH(Keys!H1,Keys!J1:J4,0,2)</f>
        <v>4</v>
      </c>
    </row>
    <row r="1511" spans="1:1" x14ac:dyDescent="0.35">
      <c r="A1511" t="e">
        <f>_xlfn.XMATCH(Keys!H1,Keys!L1:L4,0,-2)</f>
        <v>#N/A</v>
      </c>
    </row>
    <row r="1521" spans="1:1" x14ac:dyDescent="0.35">
      <c r="A1521">
        <f>_xlfn.XMATCH(0,Keys!J1:J4,0,2)</f>
        <v>2</v>
      </c>
    </row>
    <row r="1531" spans="1:1" x14ac:dyDescent="0.35">
      <c r="A1531">
        <f>_xlfn.XMATCH(21,Data!D1:D6,-1,-2)</f>
        <v>4</v>
      </c>
    </row>
    <row r="1541" spans="1:1" x14ac:dyDescent="0.35">
      <c r="A1541" t="e">
        <f>INDEX(Data!A1:B6,1)</f>
        <v>#REF!</v>
      </c>
    </row>
    <row r="1551" spans="1:1" x14ac:dyDescent="0.35">
      <c r="A1551" t="e">
        <f>VALUE(FALSE)</f>
        <v>#VALUE!</v>
      </c>
    </row>
    <row r="1561" spans="1:1" x14ac:dyDescent="0.35">
      <c r="A1561" t="e">
        <f>VALUE(Data!F3)</f>
        <v>#VALUE!</v>
      </c>
    </row>
    <row r="1571" spans="1:1" x14ac:dyDescent="0.35">
      <c r="A1571">
        <f>COUNT(_xlfn.IFS(TRUE,Data!F5))</f>
        <v>0</v>
      </c>
    </row>
    <row r="1581" spans="1:1" x14ac:dyDescent="0.35">
      <c r="A1581">
        <f>COUNT(_xlfn.SWITCH(1,1,Data!F5))</f>
        <v>0</v>
      </c>
    </row>
    <row r="1591" spans="1:1" x14ac:dyDescent="0.35">
      <c r="A1591">
        <f>COUNT(CHOOSE(1,Data!F5))</f>
        <v>0</v>
      </c>
    </row>
    <row r="1601" spans="1:1" x14ac:dyDescent="0.35">
      <c r="A1601">
        <f>COUNT(IF(TRUE,Data!F3,77))</f>
        <v>0</v>
      </c>
    </row>
    <row r="1611" spans="1:1" x14ac:dyDescent="0.35">
      <c r="A1611">
        <f>COUNT(IF(TRUE,TRUE,77))</f>
        <v>1</v>
      </c>
    </row>
    <row r="1621" spans="1:1" x14ac:dyDescent="0.35">
      <c r="A1621">
        <f>COUNT(IFERROR(Data!F3,77))</f>
        <v>1</v>
      </c>
    </row>
    <row r="1631" spans="1:1" x14ac:dyDescent="0.35">
      <c r="A1631">
        <f>COUNT(VLOOKUP(20,Data!A1:F6,6,FALSE))</f>
        <v>1</v>
      </c>
    </row>
    <row r="1641" spans="1:1" x14ac:dyDescent="0.35">
      <c r="A1641">
        <f>COUNT(IFERROR(Data!F2,77))</f>
        <v>1</v>
      </c>
    </row>
    <row r="1651" spans="1:1" x14ac:dyDescent="0.35">
      <c r="A1651">
        <f>COUNT(_xlfn.XLOOKUP(999,Data!A1:A6,Data!F1:F6,Data!F5))</f>
        <v>0</v>
      </c>
    </row>
    <row r="1661" spans="1:1" x14ac:dyDescent="0.35">
      <c r="A1661">
        <f>COUNT(VLOOKUP(30,Data!A1:F6,6,FALSE))</f>
        <v>1</v>
      </c>
    </row>
    <row r="1671" spans="1:1" x14ac:dyDescent="0.35">
      <c r="A1671">
        <f>COUNT(_xlfn.IFNA(Data!F3,77))</f>
        <v>1</v>
      </c>
    </row>
    <row r="1681" spans="1:2" x14ac:dyDescent="0.35">
      <c r="A1681" cm="1">
        <f t="array" ref="A1681:A1686">INDEX(Data!F1:F6,0,1)</f>
        <v>1</v>
      </c>
    </row>
    <row r="1682" spans="1:2" x14ac:dyDescent="0.35">
      <c r="A1682" t="str">
        <v>1</v>
      </c>
    </row>
    <row r="1683" spans="1:2" x14ac:dyDescent="0.35">
      <c r="A1683" t="b">
        <v>1</v>
      </c>
    </row>
    <row r="1684" spans="1:2" x14ac:dyDescent="0.35">
      <c r="A1684" t="b">
        <v>0</v>
      </c>
    </row>
    <row r="1685" spans="1:2" x14ac:dyDescent="0.35">
      <c r="A1685">
        <v>0</v>
      </c>
    </row>
    <row r="1686" spans="1:2" x14ac:dyDescent="0.35">
      <c r="A1686" t="e">
        <v>#N/A</v>
      </c>
    </row>
    <row r="1691" spans="1:2" x14ac:dyDescent="0.35">
      <c r="A1691" cm="1">
        <f t="array" ref="A1691:B1691">_xlfn.XLOOKUP(40,Data!A1:A6,Data!F1:G6)</f>
        <v>0</v>
      </c>
      <c r="B1691" t="str">
        <v>empty</v>
      </c>
    </row>
    <row r="1701" spans="1:2" x14ac:dyDescent="0.35">
      <c r="A1701" t="e" cm="1">
        <f t="array" ref="A1701:B1701">_xlfn.XLOOKUP(50,Data!A1:A6,Data!F1:G6)</f>
        <v>#N/A</v>
      </c>
      <c r="B1701" t="str">
        <v>E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"/>
  <sheetViews>
    <sheetView workbookViewId="0"/>
  </sheetViews>
  <sheetFormatPr defaultRowHeight="14.5" x14ac:dyDescent="0.35"/>
  <sheetData>
    <row r="1" spans="1:12" x14ac:dyDescent="0.35">
      <c r="B1">
        <v>100</v>
      </c>
      <c r="E1">
        <v>5</v>
      </c>
      <c r="F1">
        <v>0</v>
      </c>
      <c r="J1">
        <v>-5</v>
      </c>
      <c r="L1">
        <v>5</v>
      </c>
    </row>
    <row r="2" spans="1:12" x14ac:dyDescent="0.35">
      <c r="A2">
        <v>5</v>
      </c>
      <c r="B2">
        <v>500</v>
      </c>
      <c r="D2">
        <v>100</v>
      </c>
      <c r="E2">
        <v>500</v>
      </c>
      <c r="F2">
        <v>200</v>
      </c>
      <c r="J2">
        <v>0</v>
      </c>
      <c r="L2">
        <v>0</v>
      </c>
    </row>
    <row r="3" spans="1:12" x14ac:dyDescent="0.35">
      <c r="A3">
        <v>0</v>
      </c>
      <c r="B3">
        <v>200</v>
      </c>
      <c r="J3">
        <v>5</v>
      </c>
      <c r="L3">
        <v>-5</v>
      </c>
    </row>
    <row r="4" spans="1:12" x14ac:dyDescent="0.35">
      <c r="A4" t="s">
        <v>19</v>
      </c>
    </row>
    <row r="5" spans="1:12" x14ac:dyDescent="0.35">
      <c r="A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</vt:lpstr>
      <vt:lpstr>Report</vt:lpstr>
      <vt:lpstr>Keys</vt:lpstr>
      <vt:lpstr>EmptyKey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Przemysław Kłys</cp:lastModifiedBy>
  <dcterms:created xsi:type="dcterms:W3CDTF">2026-11-01T19:59:26Z</dcterms:created>
  <dcterms:modified xsi:type="dcterms:W3CDTF">2026-11-01T19:59:26Z</dcterms:modified>
</cp:coreProperties>
</file>