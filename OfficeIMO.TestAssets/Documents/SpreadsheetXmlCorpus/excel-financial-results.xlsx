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Samsung/Development/Temp/przemyslawklys/excel-interchange-coverage/"/>
    </mc:Choice>
  </mc:AlternateContent>
  <xr:revisionPtr revIDLastSave="0" documentId="13_ncr:1_{081A0DB9-6A3D-964B-BF75-CBD385654C3E}" xr6:coauthVersionLast="47" xr6:coauthVersionMax="47" xr10:uidLastSave="{00000000-0000-0000-0000-000000000000}"/>
  <bookViews>
    <workbookView xWindow="0" yWindow="600" windowWidth="38400" windowHeight="19100" xr2:uid="{00000000-000D-0000-FFFF-FFFF00000000}"/>
  </bookViews>
  <sheets>
    <sheet name="Finance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8" i="1" l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  <c r="A1" i="1"/>
</calcChain>
</file>

<file path=xl/sharedStrings.xml><?xml version="1.0" encoding="utf-8"?>
<sst xmlns="http://schemas.openxmlformats.org/spreadsheetml/2006/main" count="38" uniqueCount="38">
  <si>
    <t>RATE(48,-200,8000)</t>
  </si>
  <si>
    <t>RATE(12,-100,1200,,,0)</t>
  </si>
  <si>
    <t>RATE(10,,-100,200)</t>
  </si>
  <si>
    <t>RATE(12,-100,1200,0,1)</t>
  </si>
  <si>
    <t>IRR({-70000,12000,15000,18000,21000,26000})</t>
  </si>
  <si>
    <t>IRR({-70000;12000;15000},-0.1)</t>
  </si>
  <si>
    <t>IRR({-100,50})</t>
  </si>
  <si>
    <t>IRR({-100,100})</t>
  </si>
  <si>
    <t>IRR({-100,230,-132},0.1)</t>
  </si>
  <si>
    <t>IRR({-100,230,-132},0.2)</t>
  </si>
  <si>
    <t>IRR({-100,"ignored",TRUE,110})</t>
  </si>
  <si>
    <t>XIRR({-10000,2750,4250,3250,2750},{39448,39508,39751,39859,39904})</t>
  </si>
  <si>
    <t>XNPV(0.09,{-10000,2750,4250,3250,2750},{39448,39508,39751,39859,39904})</t>
  </si>
  <si>
    <t>XNPV(0,{-100,110},{40000.9,40365.1})</t>
  </si>
  <si>
    <t>XNPV(0.1,{-100,110},{40000.9,40365.1})</t>
  </si>
  <si>
    <t>IRR({1,2,3})</t>
  </si>
  <si>
    <t>IRR({-1,-2})</t>
  </si>
  <si>
    <t>IRR({-1,2},-1)</t>
  </si>
  <si>
    <t>IRR({-100,"text",110,#N/A})</t>
  </si>
  <si>
    <t>IRR({-1,2},"bad")</t>
  </si>
  <si>
    <t>XIRR({-100,110},{40000,39999})</t>
  </si>
  <si>
    <t>XIRR({-100,110},{40000})</t>
  </si>
  <si>
    <t>XIRR({-100,110},{40000,"date"})</t>
  </si>
  <si>
    <t>XIRR({-100,110},{-1,40000})</t>
  </si>
  <si>
    <t>XNPV(-1,{-100,110},{40000,40365})</t>
  </si>
  <si>
    <t>XNPV(0.1,{-100,#REF!},{40000,40365})</t>
  </si>
  <si>
    <t>XIRR({-100,110},{40000,40000})</t>
  </si>
  <si>
    <t>RATE(0,-100,1200)</t>
  </si>
  <si>
    <t>RATE(12,-100,1200,0,2)</t>
  </si>
  <si>
    <t>RATE(12,100,1200)</t>
  </si>
  <si>
    <t>RATE(#N/A,-100,1200)</t>
  </si>
  <si>
    <t>IFERROR(IRR({1,2,3}),42)</t>
  </si>
  <si>
    <t>XNPV(0.1,{100,110},{40000,40365})</t>
  </si>
  <si>
    <t>XIRR({-100,0,110},{40000,40100,40365})</t>
  </si>
  <si>
    <t>XIRR({-100,"ignored",110},{40000,40100,40365})</t>
  </si>
  <si>
    <t>IRR({-1,1000})</t>
  </si>
  <si>
    <t>RATE(1,-100,100)</t>
  </si>
  <si>
    <t>XIRR({-100,110},{0,365})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</si>
</sst>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8"/>
  <sheetViews>
    <sheetView tabSelected="1" workbookViewId="0"/>
  </sheetViews>
  <sheetFormatPr baseColWidth="10" defaultRowHeight="16" x14ac:dyDescent="0.2"/>
  <sheetData>
    <row r="1" spans="1:2" ht="15" x14ac:dyDescent="0.2">
      <c r="A1">
        <f>RATE(48,-200,8000)</f>
        <v>7.7014724882013682E-3</v>
      </c>
      <c r="B1" t="s">
        <v>0</v>
      </c>
    </row>
    <row r="2" spans="1:2" ht="15" x14ac:dyDescent="0.2">
      <c r="A2">
        <f>RATE(12,-100,1200,,,0)</f>
        <v>0</v>
      </c>
      <c r="B2" t="s">
        <v>1</v>
      </c>
    </row>
    <row r="3" spans="1:2" ht="15" x14ac:dyDescent="0.2">
      <c r="A3">
        <f>RATE(10,,-100,200)</f>
        <v>7.1773462536441887E-2</v>
      </c>
      <c r="B3" t="s">
        <v>2</v>
      </c>
    </row>
    <row r="4" spans="1:2" ht="15" x14ac:dyDescent="0.2">
      <c r="A4">
        <f>RATE(12,-100,1200,0,1)</f>
        <v>2.5972630155802441E-9</v>
      </c>
      <c r="B4" t="s">
        <v>3</v>
      </c>
    </row>
    <row r="5" spans="1:2" ht="15" x14ac:dyDescent="0.2">
      <c r="A5">
        <f>IRR({-70000,12000,15000,18000,21000,26000})</f>
        <v>8.663094803652216E-2</v>
      </c>
      <c r="B5" t="s">
        <v>4</v>
      </c>
    </row>
    <row r="6" spans="1:2" ht="15" x14ac:dyDescent="0.2">
      <c r="A6">
        <f>IRR({-70000;12000;15000},-0.1)</f>
        <v>-0.44350694133473989</v>
      </c>
      <c r="B6" t="s">
        <v>5</v>
      </c>
    </row>
    <row r="7" spans="1:2" ht="15" x14ac:dyDescent="0.2">
      <c r="A7">
        <f>IRR({-100,50})</f>
        <v>-0.5</v>
      </c>
      <c r="B7" t="s">
        <v>6</v>
      </c>
    </row>
    <row r="8" spans="1:2" ht="15" x14ac:dyDescent="0.2">
      <c r="A8">
        <f>IRR({-100,100})</f>
        <v>2.2204460492503131E-16</v>
      </c>
      <c r="B8" t="s">
        <v>7</v>
      </c>
    </row>
    <row r="9" spans="1:2" ht="15" x14ac:dyDescent="0.2">
      <c r="A9">
        <f>IRR({-100,230,-132},0.1)</f>
        <v>0.10000000000000009</v>
      </c>
      <c r="B9" t="s">
        <v>8</v>
      </c>
    </row>
    <row r="10" spans="1:2" ht="15" x14ac:dyDescent="0.2">
      <c r="A10">
        <f>IRR({-100,230,-132},0.2)</f>
        <v>0.20000000000000018</v>
      </c>
      <c r="B10" t="s">
        <v>9</v>
      </c>
    </row>
    <row r="11" spans="1:2" ht="15" x14ac:dyDescent="0.2">
      <c r="A11">
        <f>IRR({-100,"ignored",TRUE,110})</f>
        <v>0.10000000000000009</v>
      </c>
      <c r="B11" t="s">
        <v>10</v>
      </c>
    </row>
    <row r="12" spans="1:2" ht="15" x14ac:dyDescent="0.2">
      <c r="A12">
        <f>XIRR({-10000,2750,4250,3250,2750},{39448,39508,39751,39859,39904})</f>
        <v>0.3733625352382659</v>
      </c>
      <c r="B12" t="s">
        <v>11</v>
      </c>
    </row>
    <row r="13" spans="1:2" ht="15" x14ac:dyDescent="0.2">
      <c r="A13">
        <f>XNPV(0.09,{-10000,2750,4250,3250,2750},{39448,39508,39751,39859,39904})</f>
        <v>2086.6476020315349</v>
      </c>
      <c r="B13" t="s">
        <v>12</v>
      </c>
    </row>
    <row r="14" spans="1:2" ht="15" x14ac:dyDescent="0.2">
      <c r="A14" t="e">
        <f>XNPV(0,{-100,110},{40000.9,40365.1})</f>
        <v>#NUM!</v>
      </c>
      <c r="B14" t="s">
        <v>13</v>
      </c>
    </row>
    <row r="15" spans="1:2" ht="15" x14ac:dyDescent="0.2">
      <c r="A15">
        <f>XNPV(0.1,{-100,110},{40000.9,40365.1})</f>
        <v>-1.4210854715202004E-14</v>
      </c>
      <c r="B15" t="s">
        <v>14</v>
      </c>
    </row>
    <row r="16" spans="1:2" ht="15" x14ac:dyDescent="0.2">
      <c r="A16" t="e">
        <f>IRR({1,2,3})</f>
        <v>#NUM!</v>
      </c>
      <c r="B16" t="s">
        <v>15</v>
      </c>
    </row>
    <row r="17" spans="1:2" ht="15" x14ac:dyDescent="0.2">
      <c r="A17" t="e">
        <f>IRR({-1,-2})</f>
        <v>#NUM!</v>
      </c>
      <c r="B17" t="s">
        <v>16</v>
      </c>
    </row>
    <row r="18" spans="1:2" ht="15" x14ac:dyDescent="0.2">
      <c r="A18" t="e">
        <f>IRR({-1,2},-1)</f>
        <v>#VALUE!</v>
      </c>
      <c r="B18" t="s">
        <v>17</v>
      </c>
    </row>
    <row r="19" spans="1:2" ht="15" x14ac:dyDescent="0.2">
      <c r="A19" t="e">
        <f>IRR({-100,"text",110,#N/A})</f>
        <v>#VALUE!</v>
      </c>
      <c r="B19" t="s">
        <v>18</v>
      </c>
    </row>
    <row r="20" spans="1:2" ht="15" x14ac:dyDescent="0.2">
      <c r="A20" t="e">
        <f>IRR({-1,2},"bad")</f>
        <v>#VALUE!</v>
      </c>
      <c r="B20" t="s">
        <v>19</v>
      </c>
    </row>
    <row r="21" spans="1:2" ht="15" x14ac:dyDescent="0.2">
      <c r="A21" t="e">
        <f>XIRR({-100,110},{40000,39999})</f>
        <v>#NUM!</v>
      </c>
      <c r="B21" t="s">
        <v>20</v>
      </c>
    </row>
    <row r="22" spans="1:2" ht="15" x14ac:dyDescent="0.2">
      <c r="A22" t="e">
        <f>XIRR({-100,110},{40000})</f>
        <v>#NUM!</v>
      </c>
      <c r="B22" t="s">
        <v>21</v>
      </c>
    </row>
    <row r="23" spans="1:2" ht="15" x14ac:dyDescent="0.2">
      <c r="A23" t="e">
        <f>XIRR({-100,110},{40000,"date"})</f>
        <v>#VALUE!</v>
      </c>
      <c r="B23" t="s">
        <v>22</v>
      </c>
    </row>
    <row r="24" spans="1:2" ht="15" x14ac:dyDescent="0.2">
      <c r="A24" t="e">
        <f>XIRR({-100,110},{-1,40000})</f>
        <v>#NUM!</v>
      </c>
      <c r="B24" t="s">
        <v>23</v>
      </c>
    </row>
    <row r="25" spans="1:2" ht="15" x14ac:dyDescent="0.2">
      <c r="A25" t="e">
        <f>XNPV(-1,{-100,110},{40000,40365})</f>
        <v>#NUM!</v>
      </c>
      <c r="B25" t="s">
        <v>24</v>
      </c>
    </row>
    <row r="26" spans="1:2" ht="15" x14ac:dyDescent="0.2">
      <c r="A26" t="e">
        <f>XNPV(0.1,{-100,#REF!},{40000,40365})</f>
        <v>#REF!</v>
      </c>
      <c r="B26" t="s">
        <v>25</v>
      </c>
    </row>
    <row r="27" spans="1:2" ht="15" x14ac:dyDescent="0.2">
      <c r="A27" t="e">
        <f>XIRR({-100,110},{40000,40000})</f>
        <v>#NUM!</v>
      </c>
      <c r="B27" t="s">
        <v>26</v>
      </c>
    </row>
    <row r="28" spans="1:2" ht="15" x14ac:dyDescent="0.2">
      <c r="A28" t="e">
        <f>RATE(0,-100,1200)</f>
        <v>#NUM!</v>
      </c>
      <c r="B28" t="s">
        <v>27</v>
      </c>
    </row>
    <row r="29" spans="1:2" ht="15" x14ac:dyDescent="0.2">
      <c r="A29">
        <f>RATE(12,-100,1200,0,2)</f>
        <v>2.5972630155802441E-9</v>
      </c>
      <c r="B29" t="s">
        <v>28</v>
      </c>
    </row>
    <row r="30" spans="1:2" ht="15" x14ac:dyDescent="0.2">
      <c r="A30" t="e">
        <f>RATE(12,100,1200)</f>
        <v>#NUM!</v>
      </c>
      <c r="B30" t="s">
        <v>29</v>
      </c>
    </row>
    <row r="31" spans="1:2" ht="15" x14ac:dyDescent="0.2">
      <c r="A31" t="e">
        <f>RATE(#N/A,-100,1200)</f>
        <v>#N/A</v>
      </c>
      <c r="B31" t="s">
        <v>30</v>
      </c>
    </row>
    <row r="32" spans="1:2" ht="15" x14ac:dyDescent="0.2">
      <c r="A32">
        <f>IFERROR(IRR({1,2,3}),42)</f>
        <v>42</v>
      </c>
      <c r="B32" t="s">
        <v>31</v>
      </c>
    </row>
    <row r="33" spans="1:2" ht="15" x14ac:dyDescent="0.2">
      <c r="A33">
        <f>XNPV(0.1,{100,110},{40000,40365})</f>
        <v>200</v>
      </c>
      <c r="B33" t="s">
        <v>32</v>
      </c>
    </row>
    <row r="34" spans="1:2" ht="15" x14ac:dyDescent="0.2">
      <c r="A34">
        <f>XIRR({-100,0,110},{40000,40100,40365})</f>
        <v>9.9999994039535522E-2</v>
      </c>
      <c r="B34" t="s">
        <v>33</v>
      </c>
    </row>
    <row r="35" spans="1:2" ht="15" x14ac:dyDescent="0.2">
      <c r="A35" t="e">
        <f>XIRR({-100,"ignored",110},{40000,40100,40365})</f>
        <v>#VALUE!</v>
      </c>
      <c r="B35" t="s">
        <v>34</v>
      </c>
    </row>
    <row r="36" spans="1:2" ht="15" x14ac:dyDescent="0.2">
      <c r="A36">
        <f>IRR({-1,1000})</f>
        <v>998.99999999999909</v>
      </c>
      <c r="B36" t="s">
        <v>35</v>
      </c>
    </row>
    <row r="37" spans="1:2" ht="15" x14ac:dyDescent="0.2">
      <c r="A37">
        <f>RATE(1,-100,100)</f>
        <v>3.9165039923232365E-9</v>
      </c>
      <c r="B37" t="s">
        <v>36</v>
      </c>
    </row>
    <row r="38" spans="1:2" ht="15" x14ac:dyDescent="0.2">
      <c r="A38">
        <f>XIRR({-100,110},{0,365})</f>
        <v>9.9999994039535522E-2</v>
      </c>
      <c r="B38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Finance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Przemysław Kłys</cp:lastModifiedBy>
  <dcterms:modified xsi:type="dcterms:W3CDTF">2026-10-19T18:40:29Z</dcterms:modified>
</cp:coreProperties>
</file>