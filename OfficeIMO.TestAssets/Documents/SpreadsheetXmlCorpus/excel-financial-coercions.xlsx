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Temp/przemyslawklys/excel-interchange-coverage/"/>
    </mc:Choice>
  </mc:AlternateContent>
  <xr:revisionPtr revIDLastSave="0" documentId="13_ncr:1_{5641B88F-E41F-924A-8D44-68CE4DDDA6EE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Financ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<sst xmlns="http://schemas.openxmlformats.org/spreadsheetml/2006/main" count="18" uniqueCount="18">
  <si>
    <t>XNPV(-0.1,{-100,110},{40000,40365})</t>
  </si>
  <si>
    <t>XNPV(0,{-100,110},{40000,40365})</t>
  </si>
  <si>
    <t>IRR(#N/A)</t>
  </si>
  <si>
    <t>IRR(G1:G3)</t>
  </si>
  <si>
    <t>IRR({-100,#DIV/0!,110})</t>
  </si>
  <si>
    <t>XIRR(G1:G3,E1:E3)</t>
  </si>
  <si>
    <t>XIRR({-100,#N/A,110},{40000,40100,40365})</t>
  </si>
  <si>
    <t>XIRR(D1:D3,E1:E3)</t>
  </si>
  <si>
    <t>XIRR({-100,110},{40000,40365},-1)</t>
  </si>
  <si>
    <t>XIRR({-100,110},{40000,40365},-2)</t>
  </si>
  <si>
    <t>IRR({-100,110},-2)</t>
  </si>
  <si>
    <t>RATE(12,-100,1200,0,0.5)</t>
  </si>
  <si>
    <t>RATE(12,-100,1200,0,-1)</t>
  </si>
  <si>
    <t>XNPV(0.1,{-100,110},{40000,3000000})</t>
  </si>
  <si>
    <t>XIRR({-100,110},{40000,3000000})</t>
  </si>
  <si>
    <t>XNPV(0.1,D1:D3,E1:E3)</t>
  </si>
  <si>
    <t>IPMT(0.01,2,12,1200,0,2)</t>
  </si>
  <si>
    <t>PPMT(0.01,2,12,1200,0,-1)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</si>
</sst>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baseColWidth="10" defaultRowHeight="16" x14ac:dyDescent="0.2"/>
  <sheetData>
    <row r="1" spans="1:7" ht="15" x14ac:dyDescent="0.2">
      <c r="A1" t="e">
        <f>XNPV(-0.1,{-100,110},{40000,40365})</f>
        <v>#NUM!</v>
      </c>
      <c r="B1" t="s">
        <v>0</v>
      </c>
      <c r="D1">
        <v>-100</v>
      </c>
      <c r="E1">
        <v>40000</v>
      </c>
      <c r="G1">
        <v>-100</v>
      </c>
    </row>
    <row r="2" spans="1:7" ht="15" x14ac:dyDescent="0.2">
      <c r="A2" t="e">
        <f>XNPV(0,{-100,110},{40000,40365})</f>
        <v>#NUM!</v>
      </c>
      <c r="B2" t="s">
        <v>1</v>
      </c>
      <c r="E2">
        <v>40100</v>
      </c>
      <c r="G2" t="e">
        <v>#N/A</v>
      </c>
    </row>
    <row r="3" spans="1:7" ht="15" x14ac:dyDescent="0.2">
      <c r="A3" t="e">
        <f>IRR(#N/A)</f>
        <v>#N/A</v>
      </c>
      <c r="B3" t="s">
        <v>2</v>
      </c>
      <c r="D3">
        <v>110</v>
      </c>
      <c r="E3">
        <v>40365</v>
      </c>
      <c r="G3">
        <v>110</v>
      </c>
    </row>
    <row r="4" spans="1:7" ht="15" x14ac:dyDescent="0.2">
      <c r="A4" t="e">
        <f>IRR(G1:G3)</f>
        <v>#VALUE!</v>
      </c>
      <c r="B4" t="s">
        <v>3</v>
      </c>
    </row>
    <row r="5" spans="1:7" ht="15" x14ac:dyDescent="0.2">
      <c r="A5" t="e">
        <f>IRR({-100,#DIV/0!,110})</f>
        <v>#VALUE!</v>
      </c>
      <c r="B5" t="s">
        <v>4</v>
      </c>
    </row>
    <row r="6" spans="1:7" ht="15" x14ac:dyDescent="0.2">
      <c r="A6" t="e">
        <f>XIRR(G1:G3,E1:E3)</f>
        <v>#N/A</v>
      </c>
      <c r="B6" t="s">
        <v>5</v>
      </c>
    </row>
    <row r="7" spans="1:7" ht="15" x14ac:dyDescent="0.2">
      <c r="A7" t="e">
        <f>XIRR({-100,#N/A,110},{40000,40100,40365})</f>
        <v>#N/A</v>
      </c>
      <c r="B7" t="s">
        <v>6</v>
      </c>
    </row>
    <row r="8" spans="1:7" ht="15" x14ac:dyDescent="0.2">
      <c r="A8">
        <f>XIRR(D1:D3,E1:E3)</f>
        <v>9.9999994039535522E-2</v>
      </c>
      <c r="B8" t="s">
        <v>7</v>
      </c>
    </row>
    <row r="9" spans="1:7" ht="15" x14ac:dyDescent="0.2">
      <c r="A9" t="e">
        <f>XIRR({-100,110},{40000,40365},-1)</f>
        <v>#NUM!</v>
      </c>
      <c r="B9" t="s">
        <v>8</v>
      </c>
    </row>
    <row r="10" spans="1:7" ht="15" x14ac:dyDescent="0.2">
      <c r="A10" t="e">
        <f>XIRR({-100,110},{40000,40365},-2)</f>
        <v>#NUM!</v>
      </c>
      <c r="B10" t="s">
        <v>9</v>
      </c>
    </row>
    <row r="11" spans="1:7" ht="15" x14ac:dyDescent="0.2">
      <c r="A11" t="e">
        <f>IRR({-100,110},-2)</f>
        <v>#VALUE!</v>
      </c>
      <c r="B11" t="s">
        <v>10</v>
      </c>
    </row>
    <row r="12" spans="1:7" ht="15" x14ac:dyDescent="0.2">
      <c r="A12">
        <f>RATE(12,-100,1200,0,0.5)</f>
        <v>2.5972630155802441E-9</v>
      </c>
      <c r="B12" t="s">
        <v>11</v>
      </c>
    </row>
    <row r="13" spans="1:7" ht="15" x14ac:dyDescent="0.2">
      <c r="A13">
        <f>RATE(12,-100,1200,0,-1)</f>
        <v>2.5972630155802441E-9</v>
      </c>
      <c r="B13" t="s">
        <v>12</v>
      </c>
    </row>
    <row r="14" spans="1:7" ht="15" x14ac:dyDescent="0.2">
      <c r="A14" t="e">
        <f>XNPV(0.1,{-100,110},{40000,3000000})</f>
        <v>#NUM!</v>
      </c>
      <c r="B14" t="s">
        <v>13</v>
      </c>
    </row>
    <row r="15" spans="1:7" ht="15" x14ac:dyDescent="0.2">
      <c r="A15" t="e">
        <f>XIRR({-100,110},{40000,3000000})</f>
        <v>#NUM!</v>
      </c>
      <c r="B15" t="s">
        <v>14</v>
      </c>
    </row>
    <row r="16" spans="1:7" ht="15" x14ac:dyDescent="0.2">
      <c r="A16" t="e">
        <f>XNPV(0.1,D1:D3,E1:E3)</f>
        <v>#NUM!</v>
      </c>
      <c r="B16" t="s">
        <v>15</v>
      </c>
    </row>
    <row r="17" spans="1:2" ht="15" x14ac:dyDescent="0.2">
      <c r="A17">
        <f>IPMT(0.01,2,12,1200,0,2)</f>
        <v>-10.944370827584059</v>
      </c>
      <c r="B17" t="s">
        <v>16</v>
      </c>
    </row>
    <row r="18" spans="1:2" ht="15" x14ac:dyDescent="0.2">
      <c r="A18">
        <f>PPMT(0.01,2,12,1200,0,-1)</f>
        <v>-94.618546414010027</v>
      </c>
      <c r="B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modified xsi:type="dcterms:W3CDTF">2026-10-19T18:42:48Z</dcterms:modified>
</cp:coreProperties>
</file>