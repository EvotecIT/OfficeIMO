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9F716F8-5F79-4DB6-BC7E-2A2516576E01}" xr6:coauthVersionLast="47" xr6:coauthVersionMax="47" xr10:uidLastSave="{00000000-0000-0000-0000-000000000000}"/>
  <bookViews>
    <workbookView xWindow="-110" yWindow="-110" windowWidth="38620" windowHeight="21100" xr2:uid="{B6A5D64A-A7D7-4868-9E8D-6F8A8E1EEEA0}"/>
  </bookViews>
  <sheets>
    <sheet name="Lookups" sheetId="3" r:id="rId1"/>
    <sheet name="Grouped" sheetId="2" r:id="rId2"/>
    <sheet name="Source" sheetId="1" r:id="rId3"/>
  </sheet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<sst xmlns="http://schemas.openxmlformats.org/spreadsheetml/2006/main" count="16" uniqueCount="10">
  <si>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</si>
  <si>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</si>
  <si>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</si>
  <si>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</si>
  <si>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</si>
  <si>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</si>
  <si>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</si>
  <si>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</si>
  <si>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</si>
  <si>
    <t>Easterly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</si>
</sst>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1564976852" createdVersion="6" refreshedVersion="8" minRefreshableVersion="3" recordCount="7" xr:uid="{D071D095-047B-4C80-920C-597A0971DF23}">
  <cacheSource type="worksheet">
    <worksheetSource ref="A1:B8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0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25"/>
  </r>
  <r>
    <x v="0"/>
    <n v="35"/>
  </r>
  <r>
    <x v="1"/>
    <n v="10"/>
  </r>
  <r>
    <x v="1"/>
    <n v="2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F4BEF-FDF7-4135-B1AC-52F833E6DD6A}" name="Caption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6">
        <item x="0"/>
        <item n="Easterly"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east">
      <autoFilter ref="A1">
        <filterColumn colId="0">
          <customFilters>
            <customFilter val="*east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E3B2-7ED9-4AB9-B70B-1532720F5819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145</v>
      </c>
    </row>
    <row r="2" spans="2:2" x14ac:dyDescent="0.35">
      <c r="B2">
        <f>GETPIVOTDATA("Metric",Grouped!$A$4,"Region","North")</f>
        <v>30</v>
      </c>
    </row>
    <row r="3" spans="2:2" x14ac:dyDescent="0.35">
      <c r="B3">
        <f>GETPIVOTDATA("Metric",Grouped!$A$4,"Region","Northeast")</f>
        <v>40</v>
      </c>
    </row>
    <row r="4" spans="2:2" x14ac:dyDescent="0.35">
      <c r="B4">
        <f>GETPIVOTDATA("Metric",Grouped!$A$4,"Region","East")</f>
        <v>60</v>
      </c>
    </row>
    <row r="5" spans="2:2" x14ac:dyDescent="0.35">
      <c r="B5" t="e">
        <f>GETPIVOTDATA("Metric",Grouped!$A$4,"Region","West")</f>
        <v>#REF!</v>
      </c>
    </row>
    <row r="6" spans="2:2" x14ac:dyDescent="0.35">
      <c r="B6">
        <f>GETPIVOTDATA("Metric",Grouped!$A$4,"Region","Southeast")</f>
        <v>15</v>
      </c>
    </row>
    <row r="7" spans="2:2" x14ac:dyDescent="0.35">
      <c r="B7">
        <f>GETPIVOTDATA("Metric",Grouped!$A$4,"Region","Easterly")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88E7-A90D-4AF9-A4B8-08061F687EBD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2</v>
      </c>
      <c r="B5" s="2">
        <v>60</v>
      </c>
    </row>
    <row r="6" spans="1:2" x14ac:dyDescent="0.35">
      <c r="A6" t="s">
        <v>9</v>
      </c>
      <c r="B6" s="2">
        <v>30</v>
      </c>
    </row>
    <row r="7" spans="1:2" x14ac:dyDescent="0.35">
      <c r="A7" t="s">
        <v>4</v>
      </c>
      <c r="B7" s="2">
        <v>40</v>
      </c>
    </row>
    <row r="8" spans="1:2" x14ac:dyDescent="0.35">
      <c r="A8" t="s">
        <v>5</v>
      </c>
      <c r="B8" s="2">
        <v>15</v>
      </c>
    </row>
    <row r="9" spans="1:2" x14ac:dyDescent="0.35">
      <c r="A9" t="s">
        <v>7</v>
      </c>
      <c r="B9" s="2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44B7-D3DF-4D10-A5DA-C83321D49E81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</v>
      </c>
    </row>
    <row r="3" spans="1:2" x14ac:dyDescent="0.35">
      <c r="A3" t="s">
        <v>2</v>
      </c>
      <c r="B3">
        <v>35</v>
      </c>
    </row>
    <row r="4" spans="1:2" x14ac:dyDescent="0.35">
      <c r="A4" t="s">
        <v>3</v>
      </c>
      <c r="B4">
        <v>10</v>
      </c>
    </row>
    <row r="5" spans="1:2" x14ac:dyDescent="0.35">
      <c r="A5" t="s">
        <v>3</v>
      </c>
      <c r="B5">
        <v>20</v>
      </c>
    </row>
    <row r="6" spans="1:2" x14ac:dyDescent="0.35">
      <c r="A6" t="s">
        <v>4</v>
      </c>
      <c r="B6">
        <v>40</v>
      </c>
    </row>
    <row r="7" spans="1:2" x14ac:dyDescent="0.35">
      <c r="A7" t="s">
        <v>5</v>
      </c>
      <c r="B7">
        <v>15</v>
      </c>
    </row>
    <row r="8" spans="1:2" x14ac:dyDescent="0.35">
      <c r="A8" t="s">
        <v>6</v>
      </c>
      <c r="B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2026-09-28T05:34:32Z</dcterms:created>
  <dcterms:modified xsi:type="dcterms:W3CDTF">2026-09-28T05:34:32Z</dcterms:modified>
</cp:coreProperties>
</file>