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"/>
    </mc:Choice>
  </mc:AlternateContent>
  <xr:revisionPtr revIDLastSave="0" documentId="8_{C959AC1E-7D0B-4E87-B1ED-DBD187F536DA}" xr6:coauthVersionLast="47" xr6:coauthVersionMax="47" xr10:uidLastSave="{00000000-0000-0000-0000-000000000000}"/>
  <bookViews>
    <workbookView xWindow="-120" yWindow="-120" windowWidth="38640" windowHeight="10320" xr2:uid="{8C4A32E0-D3F8-495D-BDD9-C4A89026A2C5}"/>
  </bookViews>
  <sheets>
    <sheet name="Lookups" sheetId="3" r:id="rId1"/>
    <sheet name="Grouped" sheetId="2" r:id="rId2"/>
    <sheet name="Source" sheetId="1" r:id="rId3"/>
  </sheets>
  <calcPr calcId="191029"/>
  <pivotCaches>
    <pivotCache cacheId="1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3" i="3" l="1"/>
  <c r="B12" i="3"/>
  <c r="B11" i="3"/>
  <c r="B10" i="3"/>
  <c r="B9" i="3"/>
  <c r="B8" i="3"/>
  <c r="B7" i="3"/>
  <c r="B6" i="3"/>
  <c r="B5" i="3"/>
  <c r="B4" i="3"/>
  <c r="B3" i="3"/>
  <c r="B2" i="3"/>
  <c r="B1" i="3"/>
</calcChain>
</file>

<file path=xl/sharedStrings.xml><?xml version="1.0" encoding="utf-8"?>
<sst xmlns="http://schemas.openxmlformats.org/spreadsheetml/2006/main" count="55" uniqueCount="15">
  <si>
    <t>Region</t>
  </si>
  <si>
    <t>Product</t>
  </si>
  <si>
    <t>Channel</t>
  </si>
  <si>
    <t>Sales</t>
  </si>
  <si>
    <t>East</t>
  </si>
  <si>
    <t>A</t>
  </si>
  <si>
    <t>Retail</t>
  </si>
  <si>
    <t>Online</t>
  </si>
  <si>
    <t>Partner</t>
  </si>
  <si>
    <t>B</t>
  </si>
  <si>
    <t>West</t>
  </si>
  <si>
    <t>Grand Total</t>
  </si>
  <si>
    <t>Metric</t>
  </si>
  <si>
    <t>East Total</t>
  </si>
  <si>
    <t>West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</si>
</sst>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4.120832523149" createdVersion="6" refreshedVersion="8" minRefreshableVersion="3" recordCount="12" xr:uid="{8414BB4A-E51D-4469-9418-0EE2FD165A7E}">
  <cacheSource type="worksheet">
    <worksheetSource ref="A1:D13" sheet="Source"/>
  </cacheSource>
  <cacheFields count="4">
    <cacheField name="Region" numFmtId="0">
      <sharedItems count="2">
        <s v="East"/>
        <s v="West"/>
      </sharedItems>
    </cacheField>
    <cacheField name="Product" numFmtId="0">
      <sharedItems count="2">
        <s v="A"/>
        <s v="B"/>
      </sharedItems>
    </cacheField>
    <cacheField name="Channel" numFmtId="0">
      <sharedItems count="3">
        <s v="Retail"/>
        <s v="Online"/>
        <s v="Partner"/>
      </sharedItems>
    </cacheField>
    <cacheField name="Sales" numFmtId="0">
      <sharedItems containsSemiMixedTypes="0" containsString="0" containsNumber="1" containsInteger="1" minValue="5" maxValue="4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x v="0"/>
    <x v="0"/>
    <n v="10"/>
  </r>
  <r>
    <x v="0"/>
    <x v="0"/>
    <x v="1"/>
    <n v="30"/>
  </r>
  <r>
    <x v="0"/>
    <x v="0"/>
    <x v="2"/>
    <n v="20"/>
  </r>
  <r>
    <x v="0"/>
    <x v="1"/>
    <x v="0"/>
    <n v="40"/>
  </r>
  <r>
    <x v="0"/>
    <x v="1"/>
    <x v="1"/>
    <n v="20"/>
  </r>
  <r>
    <x v="0"/>
    <x v="1"/>
    <x v="2"/>
    <n v="5"/>
  </r>
  <r>
    <x v="1"/>
    <x v="0"/>
    <x v="0"/>
    <n v="5"/>
  </r>
  <r>
    <x v="1"/>
    <x v="0"/>
    <x v="1"/>
    <n v="25"/>
  </r>
  <r>
    <x v="1"/>
    <x v="0"/>
    <x v="2"/>
    <n v="15"/>
  </r>
  <r>
    <x v="1"/>
    <x v="1"/>
    <x v="0"/>
    <n v="35"/>
  </r>
  <r>
    <x v="1"/>
    <x v="1"/>
    <x v="1"/>
    <n v="15"/>
  </r>
  <r>
    <x v="1"/>
    <x v="1"/>
    <x v="2"/>
    <n v="4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80E814-B7AF-4CB2-AD82-D26F707CE946}" name="ValuePivot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F10" firstHeaderRow="1" firstDataRow="2" firstDataCol="2"/>
  <pivotFields count="4">
    <pivotField axis="axisRow" compact="0" outline="0" showAll="0">
      <items count="3">
        <item x="0"/>
        <item x="1"/>
        <item t="default"/>
      </items>
    </pivotField>
    <pivotField axis="axisRow" compact="0" outline="0" showAll="0" measureFilter="1">
      <items count="3">
        <item x="0"/>
        <item x="1"/>
        <item t="default"/>
      </items>
    </pivotField>
    <pivotField axis="axisCol" compact="0" outline="0" showAll="0">
      <items count="4">
        <item x="1"/>
        <item x="2"/>
        <item x="0"/>
        <item t="default"/>
      </items>
    </pivotField>
    <pivotField dataField="1" compact="0" outline="0" showAll="0"/>
  </pivotFields>
  <rowFields count="2">
    <field x="0"/>
    <field x="1"/>
  </rowFields>
  <rowItems count="5">
    <i>
      <x/>
      <x/>
    </i>
    <i t="default">
      <x/>
    </i>
    <i>
      <x v="1"/>
      <x/>
    </i>
    <i t="default">
      <x v="1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Metric" fld="3" baseField="0" baseItem="0"/>
  </dataField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top="0"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67B1B-0C60-4E3B-AFFB-0616765E6056}">
  <dimension ref="B1:B13"/>
  <sheetViews>
    <sheetView tabSelected="1" workbookViewId="0"/>
  </sheetViews>
  <sheetFormatPr defaultRowHeight="15" x14ac:dyDescent="0.25"/>
  <sheetData>
    <row r="1" spans="2:2" x14ac:dyDescent="0.25">
      <c r="B1">
        <f>GETPIVOTDATA("Metric",Grouped!$A$4)</f>
        <v>105</v>
      </c>
    </row>
    <row r="2" spans="2:2" x14ac:dyDescent="0.25">
      <c r="B2">
        <f>GETPIVOTDATA("Metric",Grouped!$A$4,"Region","East","Product","A","Channel","Retail")</f>
        <v>10</v>
      </c>
    </row>
    <row r="3" spans="2:2" x14ac:dyDescent="0.25">
      <c r="B3">
        <f>GETPIVOTDATA("Metric",Grouped!$A$4,"Region","East","Product","A","Channel","Online")</f>
        <v>30</v>
      </c>
    </row>
    <row r="4" spans="2:2" x14ac:dyDescent="0.25">
      <c r="B4">
        <f>GETPIVOTDATA("Metric",Grouped!$A$4,"Region","East","Product","A","Channel","Partner")</f>
        <v>20</v>
      </c>
    </row>
    <row r="5" spans="2:2" x14ac:dyDescent="0.25">
      <c r="B5" t="e">
        <f>GETPIVOTDATA("Metric",Grouped!$A$4,"Region","East","Product","B","Channel","Retail")</f>
        <v>#REF!</v>
      </c>
    </row>
    <row r="6" spans="2:2" x14ac:dyDescent="0.25">
      <c r="B6" t="e">
        <f>GETPIVOTDATA("Metric",Grouped!$A$4,"Region","East","Product","B","Channel","Online")</f>
        <v>#REF!</v>
      </c>
    </row>
    <row r="7" spans="2:2" x14ac:dyDescent="0.25">
      <c r="B7" t="e">
        <f>GETPIVOTDATA("Metric",Grouped!$A$4,"Region","East","Product","B","Channel","Partner")</f>
        <v>#REF!</v>
      </c>
    </row>
    <row r="8" spans="2:2" x14ac:dyDescent="0.25">
      <c r="B8">
        <f>GETPIVOTDATA("Metric",Grouped!$A$4,"Region","West","Product","A","Channel","Retail")</f>
        <v>5</v>
      </c>
    </row>
    <row r="9" spans="2:2" x14ac:dyDescent="0.25">
      <c r="B9">
        <f>GETPIVOTDATA("Metric",Grouped!$A$4,"Region","West","Product","A","Channel","Online")</f>
        <v>25</v>
      </c>
    </row>
    <row r="10" spans="2:2" x14ac:dyDescent="0.25">
      <c r="B10">
        <f>GETPIVOTDATA("Metric",Grouped!$A$4,"Region","West","Product","A","Channel","Partner")</f>
        <v>15</v>
      </c>
    </row>
    <row r="11" spans="2:2" x14ac:dyDescent="0.25">
      <c r="B11" t="e">
        <f>GETPIVOTDATA("Metric",Grouped!$A$4,"Region","West","Product","B","Channel","Retail")</f>
        <v>#REF!</v>
      </c>
    </row>
    <row r="12" spans="2:2" x14ac:dyDescent="0.25">
      <c r="B12" t="e">
        <f>GETPIVOTDATA("Metric",Grouped!$A$4,"Region","West","Product","B","Channel","Online")</f>
        <v>#REF!</v>
      </c>
    </row>
    <row r="13" spans="2:2" x14ac:dyDescent="0.25">
      <c r="B13" t="e">
        <f>GETPIVOTDATA("Metric",Grouped!$A$4,"Region","West","Product","B","Channel","Partner")</f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F4E08-B981-45EF-9349-C6AF35F75D3A}">
  <dimension ref="A4:F10"/>
  <sheetViews>
    <sheetView workbookViewId="0"/>
  </sheetViews>
  <sheetFormatPr defaultRowHeight="15" x14ac:dyDescent="0.25"/>
  <cols>
    <col min="1" max="1" width="13.42578125" bestFit="1" customWidth="1"/>
    <col min="2" max="2" width="10.28515625" bestFit="1" customWidth="1"/>
    <col min="3" max="5" width="10.85546875" bestFit="1" customWidth="1"/>
    <col min="6" max="6" width="11.28515625" bestFit="1" customWidth="1"/>
  </cols>
  <sheetData>
    <row r="4" spans="1:6" x14ac:dyDescent="0.25">
      <c r="A4" s="1" t="s">
        <v>12</v>
      </c>
      <c r="C4" s="1" t="s">
        <v>2</v>
      </c>
    </row>
    <row r="5" spans="1:6" x14ac:dyDescent="0.25">
      <c r="A5" s="1" t="s">
        <v>0</v>
      </c>
      <c r="B5" s="1" t="s">
        <v>1</v>
      </c>
      <c r="C5" t="s">
        <v>7</v>
      </c>
      <c r="D5" t="s">
        <v>8</v>
      </c>
      <c r="E5" t="s">
        <v>6</v>
      </c>
      <c r="F5" t="s">
        <v>11</v>
      </c>
    </row>
    <row r="6" spans="1:6" x14ac:dyDescent="0.25">
      <c r="A6" t="s">
        <v>4</v>
      </c>
      <c r="B6" t="s">
        <v>5</v>
      </c>
      <c r="C6" s="2">
        <v>30</v>
      </c>
      <c r="D6" s="2">
        <v>20</v>
      </c>
      <c r="E6" s="2">
        <v>10</v>
      </c>
      <c r="F6" s="2">
        <v>60</v>
      </c>
    </row>
    <row r="7" spans="1:6" x14ac:dyDescent="0.25">
      <c r="A7" t="s">
        <v>13</v>
      </c>
      <c r="C7" s="2">
        <v>30</v>
      </c>
      <c r="D7" s="2">
        <v>20</v>
      </c>
      <c r="E7" s="2">
        <v>10</v>
      </c>
      <c r="F7" s="2">
        <v>60</v>
      </c>
    </row>
    <row r="8" spans="1:6" x14ac:dyDescent="0.25">
      <c r="A8" t="s">
        <v>10</v>
      </c>
      <c r="B8" t="s">
        <v>5</v>
      </c>
      <c r="C8" s="2">
        <v>25</v>
      </c>
      <c r="D8" s="2">
        <v>15</v>
      </c>
      <c r="E8" s="2">
        <v>5</v>
      </c>
      <c r="F8" s="2">
        <v>45</v>
      </c>
    </row>
    <row r="9" spans="1:6" x14ac:dyDescent="0.25">
      <c r="A9" t="s">
        <v>14</v>
      </c>
      <c r="C9" s="2">
        <v>25</v>
      </c>
      <c r="D9" s="2">
        <v>15</v>
      </c>
      <c r="E9" s="2">
        <v>5</v>
      </c>
      <c r="F9" s="2">
        <v>45</v>
      </c>
    </row>
    <row r="10" spans="1:6" x14ac:dyDescent="0.25">
      <c r="A10" t="s">
        <v>11</v>
      </c>
      <c r="C10" s="2">
        <v>55</v>
      </c>
      <c r="D10" s="2">
        <v>35</v>
      </c>
      <c r="E10" s="2">
        <v>15</v>
      </c>
      <c r="F10" s="2">
        <v>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7F58C-F3CB-4702-95C4-3BF1BE6D8900}">
  <dimension ref="A1:D13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10</v>
      </c>
    </row>
    <row r="3" spans="1:4" x14ac:dyDescent="0.25">
      <c r="A3" t="s">
        <v>4</v>
      </c>
      <c r="B3" t="s">
        <v>5</v>
      </c>
      <c r="C3" t="s">
        <v>7</v>
      </c>
      <c r="D3">
        <v>30</v>
      </c>
    </row>
    <row r="4" spans="1:4" x14ac:dyDescent="0.25">
      <c r="A4" t="s">
        <v>4</v>
      </c>
      <c r="B4" t="s">
        <v>5</v>
      </c>
      <c r="C4" t="s">
        <v>8</v>
      </c>
      <c r="D4">
        <v>20</v>
      </c>
    </row>
    <row r="5" spans="1:4" x14ac:dyDescent="0.25">
      <c r="A5" t="s">
        <v>4</v>
      </c>
      <c r="B5" t="s">
        <v>9</v>
      </c>
      <c r="C5" t="s">
        <v>6</v>
      </c>
      <c r="D5">
        <v>40</v>
      </c>
    </row>
    <row r="6" spans="1:4" x14ac:dyDescent="0.25">
      <c r="A6" t="s">
        <v>4</v>
      </c>
      <c r="B6" t="s">
        <v>9</v>
      </c>
      <c r="C6" t="s">
        <v>7</v>
      </c>
      <c r="D6">
        <v>20</v>
      </c>
    </row>
    <row r="7" spans="1:4" x14ac:dyDescent="0.25">
      <c r="A7" t="s">
        <v>4</v>
      </c>
      <c r="B7" t="s">
        <v>9</v>
      </c>
      <c r="C7" t="s">
        <v>8</v>
      </c>
      <c r="D7">
        <v>5</v>
      </c>
    </row>
    <row r="8" spans="1:4" x14ac:dyDescent="0.25">
      <c r="A8" t="s">
        <v>10</v>
      </c>
      <c r="B8" t="s">
        <v>5</v>
      </c>
      <c r="C8" t="s">
        <v>6</v>
      </c>
      <c r="D8">
        <v>5</v>
      </c>
    </row>
    <row r="9" spans="1:4" x14ac:dyDescent="0.25">
      <c r="A9" t="s">
        <v>10</v>
      </c>
      <c r="B9" t="s">
        <v>5</v>
      </c>
      <c r="C9" t="s">
        <v>7</v>
      </c>
      <c r="D9">
        <v>25</v>
      </c>
    </row>
    <row r="10" spans="1:4" x14ac:dyDescent="0.25">
      <c r="A10" t="s">
        <v>10</v>
      </c>
      <c r="B10" t="s">
        <v>5</v>
      </c>
      <c r="C10" t="s">
        <v>8</v>
      </c>
      <c r="D10">
        <v>15</v>
      </c>
    </row>
    <row r="11" spans="1:4" x14ac:dyDescent="0.25">
      <c r="A11" t="s">
        <v>10</v>
      </c>
      <c r="B11" t="s">
        <v>9</v>
      </c>
      <c r="C11" t="s">
        <v>6</v>
      </c>
      <c r="D11">
        <v>35</v>
      </c>
    </row>
    <row r="12" spans="1:4" x14ac:dyDescent="0.25">
      <c r="A12" t="s">
        <v>10</v>
      </c>
      <c r="B12" t="s">
        <v>9</v>
      </c>
      <c r="C12" t="s">
        <v>7</v>
      </c>
      <c r="D12">
        <v>15</v>
      </c>
    </row>
    <row r="13" spans="1:4" x14ac:dyDescent="0.25">
      <c r="A13" t="s">
        <v>10</v>
      </c>
      <c r="B13" t="s">
        <v>9</v>
      </c>
      <c r="C13" t="s">
        <v>8</v>
      </c>
      <c r="D13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2026-09-29T00:53:59Z</dcterms:created>
  <dcterms:modified xsi:type="dcterms:W3CDTF">2026-09-29T00:54:00Z</dcterms:modified>
</cp:coreProperties>
</file>