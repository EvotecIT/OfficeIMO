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18E5DA95-5A76-4B60-B564-650C8E33B5AC}" xr6:coauthVersionLast="47" xr6:coauthVersionMax="47" xr10:uidLastSave="{00000000-0000-0000-0000-000000000000}"/>
  <bookViews>
    <workbookView xWindow="-120" yWindow="-120" windowWidth="38640" windowHeight="10320" xr2:uid="{7A89B6DA-3E21-4E9A-8CCB-B6BE21B22758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<sst xmlns="http://schemas.openxmlformats.org/spreadsheetml/2006/main" count="56" uniqueCount="15">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</sst>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20863194446" createdVersion="6" refreshedVersion="8" minRefreshableVersion="3" recordCount="12" xr:uid="{931569A0-8099-4439-9B50-66570EFE3DC8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4EDFE-4789-4492-8061-80B5E49E7C95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E12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 measureFilter="1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4F40-B127-43B8-95CD-1125551907EE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180</v>
      </c>
    </row>
    <row r="2" spans="2:2" x14ac:dyDescent="0.25">
      <c r="B2">
        <f>GETPIVOTDATA("Metric",Grouped!$A$4,"Region","East","Product","A","Channel","Retail")</f>
        <v>10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 t="e">
        <f>GETPIVOTDATA("Metric",Grouped!$A$4,"Region","East","Product","A","Channel","Partner")</f>
        <v>#REF!</v>
      </c>
    </row>
    <row r="5" spans="2:2" x14ac:dyDescent="0.25">
      <c r="B5">
        <f>GETPIVOTDATA("Metric",Grouped!$A$4,"Region","East","Product","B","Channel","Retail")</f>
        <v>40</v>
      </c>
    </row>
    <row r="6" spans="2:2" x14ac:dyDescent="0.25">
      <c r="B6">
        <f>GETPIVOTDATA("Metric",Grouped!$A$4,"Region","East","Product","B","Channel","Online")</f>
        <v>20</v>
      </c>
    </row>
    <row r="7" spans="2:2" x14ac:dyDescent="0.25">
      <c r="B7" t="e">
        <f>GETPIVOTDATA("Metric",Grouped!$A$4,"Region","East","Product","B","Channel","Partner")</f>
        <v>#REF!</v>
      </c>
    </row>
    <row r="8" spans="2:2" x14ac:dyDescent="0.25">
      <c r="B8">
        <f>GETPIVOTDATA("Metric",Grouped!$A$4,"Region","West","Product","A","Channel","Retail")</f>
        <v>5</v>
      </c>
    </row>
    <row r="9" spans="2:2" x14ac:dyDescent="0.25">
      <c r="B9">
        <f>GETPIVOTDATA("Metric",Grouped!$A$4,"Region","West","Product","A","Channel","Online")</f>
        <v>25</v>
      </c>
    </row>
    <row r="10" spans="2:2" x14ac:dyDescent="0.25">
      <c r="B10" t="e">
        <f>GETPIVOTDATA("Metric",Grouped!$A$4,"Region","West","Product","A","Channel","Partner")</f>
        <v>#REF!</v>
      </c>
    </row>
    <row r="11" spans="2:2" x14ac:dyDescent="0.25">
      <c r="B11">
        <f>GETPIVOTDATA("Metric",Grouped!$A$4,"Region","West","Product","B","Channel","Retail")</f>
        <v>35</v>
      </c>
    </row>
    <row r="12" spans="2:2" x14ac:dyDescent="0.25">
      <c r="B12">
        <f>GETPIVOTDATA("Metric",Grouped!$A$4,"Region","West","Product","B","Channel","Online")</f>
        <v>15</v>
      </c>
    </row>
    <row r="13" spans="2:2" x14ac:dyDescent="0.25">
      <c r="B13" t="e">
        <f>GETPIVOTDATA("Metric",Grouped!$A$4,"Region","West","Product","B","Channel","Partner")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8A27-4F29-47A9-B355-F8AD8B6899E3}">
  <dimension ref="A4:E12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4" width="10.85546875" bestFit="1" customWidth="1"/>
    <col min="5" max="6" width="11.28515625" bestFit="1" customWidth="1"/>
  </cols>
  <sheetData>
    <row r="4" spans="1:5" x14ac:dyDescent="0.25">
      <c r="A4" s="1" t="s">
        <v>12</v>
      </c>
      <c r="C4" s="1" t="s">
        <v>2</v>
      </c>
    </row>
    <row r="5" spans="1:5" x14ac:dyDescent="0.25">
      <c r="A5" s="1" t="s">
        <v>0</v>
      </c>
      <c r="B5" s="1" t="s">
        <v>1</v>
      </c>
      <c r="C5" t="s">
        <v>7</v>
      </c>
      <c r="D5" t="s">
        <v>6</v>
      </c>
      <c r="E5" t="s">
        <v>11</v>
      </c>
    </row>
    <row r="6" spans="1:5" x14ac:dyDescent="0.25">
      <c r="A6" t="s">
        <v>4</v>
      </c>
      <c r="B6" t="s">
        <v>5</v>
      </c>
      <c r="C6" s="2">
        <v>30</v>
      </c>
      <c r="D6" s="2">
        <v>10</v>
      </c>
      <c r="E6" s="2">
        <v>40</v>
      </c>
    </row>
    <row r="7" spans="1:5" x14ac:dyDescent="0.25">
      <c r="B7" t="s">
        <v>9</v>
      </c>
      <c r="C7" s="2">
        <v>20</v>
      </c>
      <c r="D7" s="2">
        <v>40</v>
      </c>
      <c r="E7" s="2">
        <v>60</v>
      </c>
    </row>
    <row r="8" spans="1:5" x14ac:dyDescent="0.25">
      <c r="A8" t="s">
        <v>13</v>
      </c>
      <c r="C8" s="2">
        <v>50</v>
      </c>
      <c r="D8" s="2">
        <v>50</v>
      </c>
      <c r="E8" s="2">
        <v>100</v>
      </c>
    </row>
    <row r="9" spans="1:5" x14ac:dyDescent="0.25">
      <c r="A9" t="s">
        <v>10</v>
      </c>
      <c r="B9" t="s">
        <v>5</v>
      </c>
      <c r="C9" s="2">
        <v>25</v>
      </c>
      <c r="D9" s="2">
        <v>5</v>
      </c>
      <c r="E9" s="2">
        <v>30</v>
      </c>
    </row>
    <row r="10" spans="1:5" x14ac:dyDescent="0.25">
      <c r="B10" t="s">
        <v>9</v>
      </c>
      <c r="C10" s="2">
        <v>15</v>
      </c>
      <c r="D10" s="2">
        <v>35</v>
      </c>
      <c r="E10" s="2">
        <v>50</v>
      </c>
    </row>
    <row r="11" spans="1:5" x14ac:dyDescent="0.25">
      <c r="A11" t="s">
        <v>14</v>
      </c>
      <c r="C11" s="2">
        <v>40</v>
      </c>
      <c r="D11" s="2">
        <v>40</v>
      </c>
      <c r="E11" s="2">
        <v>80</v>
      </c>
    </row>
    <row r="12" spans="1:5" x14ac:dyDescent="0.25">
      <c r="A12" t="s">
        <v>11</v>
      </c>
      <c r="C12" s="2">
        <v>90</v>
      </c>
      <c r="D12" s="2">
        <v>90</v>
      </c>
      <c r="E12" s="2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6E2B-8CBA-4F5D-92D1-D75D50FCD030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2026-09-29T00:54:02Z</dcterms:created>
  <dcterms:modified xsi:type="dcterms:W3CDTF">2026-09-29T00:54:02Z</dcterms:modified>
</cp:coreProperties>
</file>