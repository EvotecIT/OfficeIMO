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59125C3E-797D-4AF6-B36F-635040048A74}" xr6:coauthVersionLast="47" xr6:coauthVersionMax="47" xr10:uidLastSave="{00000000-0000-0000-0000-000000000000}"/>
  <bookViews>
    <workbookView xWindow="-120" yWindow="-120" windowWidth="38640" windowHeight="10320" xr2:uid="{CCB3ECF0-3E31-4519-A7AA-E9B84CA1E410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<sst xmlns="http://schemas.openxmlformats.org/spreadsheetml/2006/main" count="65" uniqueCount="17">
  <si>
    <t>Region</t>
  </si>
  <si>
    <t>Product</t>
  </si>
  <si>
    <t>Channel</t>
  </si>
  <si>
    <t>Sales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</si>
  <si>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</si>
  <si>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</si>
  <si>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</si>
  <si>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</si>
  <si>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</si>
  <si>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</si>
  <si>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</si>
  <si>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</si>
  <si>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</si>
  <si>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A Total</t>
  </si>
  <si>
    <t>B Total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</si>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</sst>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77953472224" createdVersion="6" refreshedVersion="8" minRefreshableVersion="3" recordCount="12" xr:uid="{5DDCC5A0-9B41-40A2-A78F-F189981920C9}">
  <cacheSource type="worksheet">
    <worksheetSource ref="A1:D13" sheet="Source"/>
  </cacheSource>
  <cacheFields count="4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</r>
  <r>
    <x v="0"/>
    <x v="0"/>
    <x v="1"/>
    <n v="30"/>
  </r>
  <r>
    <x v="0"/>
    <x v="0"/>
    <x v="2"/>
    <n v="20"/>
  </r>
  <r>
    <x v="0"/>
    <x v="1"/>
    <x v="0"/>
    <n v="40"/>
  </r>
  <r>
    <x v="0"/>
    <x v="1"/>
    <x v="1"/>
    <n v="20"/>
  </r>
  <r>
    <x v="0"/>
    <x v="1"/>
    <x v="2"/>
    <n v="5"/>
  </r>
  <r>
    <x v="1"/>
    <x v="0"/>
    <x v="0"/>
    <n v="5"/>
  </r>
  <r>
    <x v="1"/>
    <x v="0"/>
    <x v="1"/>
    <n v="25"/>
  </r>
  <r>
    <x v="1"/>
    <x v="0"/>
    <x v="2"/>
    <n v="15"/>
  </r>
  <r>
    <x v="1"/>
    <x v="1"/>
    <x v="0"/>
    <n v="35"/>
  </r>
  <r>
    <x v="1"/>
    <x v="1"/>
    <x v="1"/>
    <n v="15"/>
  </r>
  <r>
    <x v="1"/>
    <x v="1"/>
    <x v="2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0CFC8-2677-4F12-87E0-78259580D1D7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19" firstHeaderRow="1" firstDataRow="1" firstDataCol="3"/>
  <pivotFields count="4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4">
        <item x="1"/>
        <item x="2"/>
        <item x="0"/>
        <item t="default"/>
      </items>
    </pivotField>
    <pivotField dataField="1" compact="0" outline="0" showAll="0"/>
  </pivotFields>
  <rowFields count="3">
    <field x="0"/>
    <field x="1"/>
    <field x="2"/>
  </rowFields>
  <rowItems count="15">
    <i>
      <x/>
      <x/>
      <x/>
    </i>
    <i r="2">
      <x v="1"/>
    </i>
    <i t="default" r="1">
      <x/>
    </i>
    <i r="1">
      <x v="1"/>
      <x/>
    </i>
    <i r="2">
      <x v="2"/>
    </i>
    <i t="default" r="1">
      <x v="1"/>
    </i>
    <i t="default">
      <x/>
    </i>
    <i>
      <x v="1"/>
      <x/>
      <x/>
    </i>
    <i r="2">
      <x v="1"/>
    </i>
    <i t="default" r="1">
      <x/>
    </i>
    <i r="1">
      <x v="1"/>
      <x v="1"/>
    </i>
    <i r="2">
      <x v="2"/>
    </i>
    <i t="default" r="1">
      <x v="1"/>
    </i>
    <i t="default">
      <x v="1"/>
    </i>
    <i t="grand">
      <x/>
    </i>
  </rowItems>
  <colItems count="1">
    <i/>
  </colItems>
  <dataFields count="1">
    <dataField name="Metric" fld="3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C3AC-A2E2-4905-9805-A84A1400C920}">
  <dimension ref="B1:B13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230</v>
      </c>
    </row>
    <row r="2" spans="2:2" x14ac:dyDescent="0.25">
      <c r="B2" t="e">
        <f>GETPIVOTDATA("Metric",Grouped!$A$4,"Region","East","Product","A","Channel","Retail")</f>
        <v>#REF!</v>
      </c>
    </row>
    <row r="3" spans="2:2" x14ac:dyDescent="0.25">
      <c r="B3">
        <f>GETPIVOTDATA("Metric",Grouped!$A$4,"Region","East","Product","A","Channel","Online")</f>
        <v>30</v>
      </c>
    </row>
    <row r="4" spans="2:2" x14ac:dyDescent="0.25">
      <c r="B4">
        <f>GETPIVOTDATA("Metric",Grouped!$A$4,"Region","East","Product","A","Channel","Partner")</f>
        <v>20</v>
      </c>
    </row>
    <row r="5" spans="2:2" x14ac:dyDescent="0.25">
      <c r="B5">
        <f>GETPIVOTDATA("Metric",Grouped!$A$4,"Region","East","Product","B","Channel","Retail")</f>
        <v>40</v>
      </c>
    </row>
    <row r="6" spans="2:2" x14ac:dyDescent="0.25">
      <c r="B6">
        <f>GETPIVOTDATA("Metric",Grouped!$A$4,"Region","East","Product","B","Channel","Online")</f>
        <v>20</v>
      </c>
    </row>
    <row r="7" spans="2:2" x14ac:dyDescent="0.25">
      <c r="B7" t="e">
        <f>GETPIVOTDATA("Metric",Grouped!$A$4,"Region","East","Product","B","Channel","Partner")</f>
        <v>#REF!</v>
      </c>
    </row>
    <row r="8" spans="2:2" x14ac:dyDescent="0.25">
      <c r="B8" t="e">
        <f>GETPIVOTDATA("Metric",Grouped!$A$4,"Region","West","Product","A","Channel","Retail")</f>
        <v>#REF!</v>
      </c>
    </row>
    <row r="9" spans="2:2" x14ac:dyDescent="0.25">
      <c r="B9">
        <f>GETPIVOTDATA("Metric",Grouped!$A$4,"Region","West","Product","A","Channel","Online")</f>
        <v>25</v>
      </c>
    </row>
    <row r="10" spans="2:2" x14ac:dyDescent="0.25">
      <c r="B10">
        <f>GETPIVOTDATA("Metric",Grouped!$A$4,"Region","West","Product","A","Channel","Partner")</f>
        <v>15</v>
      </c>
    </row>
    <row r="11" spans="2:2" x14ac:dyDescent="0.25">
      <c r="B11">
        <f>GETPIVOTDATA("Metric",Grouped!$A$4,"Region","West","Product","B","Channel","Retail")</f>
        <v>35</v>
      </c>
    </row>
    <row r="12" spans="2:2" x14ac:dyDescent="0.25">
      <c r="B12" t="e">
        <f>GETPIVOTDATA("Metric",Grouped!$A$4,"Region","West","Product","B","Channel","Online")</f>
        <v>#REF!</v>
      </c>
    </row>
    <row r="13" spans="2:2" x14ac:dyDescent="0.25">
      <c r="B13">
        <f>GETPIVOTDATA("Metric",Grouped!$A$4,"Region","West","Product","B","Channel","Partner")</f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62F1-96D1-49F4-83DA-9FE9D642FEAB}">
  <dimension ref="A4:D19"/>
  <sheetViews>
    <sheetView workbookViewId="0"/>
  </sheetViews>
  <sheetFormatPr defaultRowHeight="15" x14ac:dyDescent="0.25"/>
  <cols>
    <col min="1" max="1" width="13.42578125" bestFit="1" customWidth="1"/>
    <col min="2" max="2" width="6.7109375" bestFit="1" customWidth="1"/>
    <col min="3" max="3" width="10.85546875" bestFit="1" customWidth="1"/>
    <col min="4" max="4" width="6.7109375" bestFit="1" customWidth="1"/>
  </cols>
  <sheetData>
    <row r="4" spans="1:4" x14ac:dyDescent="0.25">
      <c r="A4" s="1" t="s">
        <v>0</v>
      </c>
      <c r="B4" s="1" t="s">
        <v>1</v>
      </c>
      <c r="C4" s="1" t="s">
        <v>2</v>
      </c>
      <c r="D4" t="s">
        <v>12</v>
      </c>
    </row>
    <row r="5" spans="1:4" x14ac:dyDescent="0.25">
      <c r="A5" t="s">
        <v>4</v>
      </c>
      <c r="B5" t="s">
        <v>5</v>
      </c>
      <c r="C5" t="s">
        <v>7</v>
      </c>
      <c r="D5" s="2">
        <v>30</v>
      </c>
    </row>
    <row r="6" spans="1:4" x14ac:dyDescent="0.25">
      <c r="C6" t="s">
        <v>8</v>
      </c>
      <c r="D6" s="2">
        <v>20</v>
      </c>
    </row>
    <row r="7" spans="1:4" x14ac:dyDescent="0.25">
      <c r="B7" t="s">
        <v>13</v>
      </c>
      <c r="D7" s="2">
        <v>50</v>
      </c>
    </row>
    <row r="8" spans="1:4" x14ac:dyDescent="0.25">
      <c r="B8" t="s">
        <v>9</v>
      </c>
      <c r="C8" t="s">
        <v>7</v>
      </c>
      <c r="D8" s="2">
        <v>20</v>
      </c>
    </row>
    <row r="9" spans="1:4" x14ac:dyDescent="0.25">
      <c r="C9" t="s">
        <v>6</v>
      </c>
      <c r="D9" s="2">
        <v>40</v>
      </c>
    </row>
    <row r="10" spans="1:4" x14ac:dyDescent="0.25">
      <c r="B10" t="s">
        <v>14</v>
      </c>
      <c r="D10" s="2">
        <v>60</v>
      </c>
    </row>
    <row r="11" spans="1:4" x14ac:dyDescent="0.25">
      <c r="A11" t="s">
        <v>15</v>
      </c>
      <c r="D11" s="2">
        <v>110</v>
      </c>
    </row>
    <row r="12" spans="1:4" x14ac:dyDescent="0.25">
      <c r="A12" t="s">
        <v>10</v>
      </c>
      <c r="B12" t="s">
        <v>5</v>
      </c>
      <c r="C12" t="s">
        <v>7</v>
      </c>
      <c r="D12" s="2">
        <v>25</v>
      </c>
    </row>
    <row r="13" spans="1:4" x14ac:dyDescent="0.25">
      <c r="C13" t="s">
        <v>8</v>
      </c>
      <c r="D13" s="2">
        <v>15</v>
      </c>
    </row>
    <row r="14" spans="1:4" x14ac:dyDescent="0.25">
      <c r="B14" t="s">
        <v>13</v>
      </c>
      <c r="D14" s="2">
        <v>40</v>
      </c>
    </row>
    <row r="15" spans="1:4" x14ac:dyDescent="0.25">
      <c r="B15" t="s">
        <v>9</v>
      </c>
      <c r="C15" t="s">
        <v>8</v>
      </c>
      <c r="D15" s="2">
        <v>45</v>
      </c>
    </row>
    <row r="16" spans="1:4" x14ac:dyDescent="0.25">
      <c r="C16" t="s">
        <v>6</v>
      </c>
      <c r="D16" s="2">
        <v>35</v>
      </c>
    </row>
    <row r="17" spans="1:4" x14ac:dyDescent="0.25">
      <c r="B17" t="s">
        <v>14</v>
      </c>
      <c r="D17" s="2">
        <v>80</v>
      </c>
    </row>
    <row r="18" spans="1:4" x14ac:dyDescent="0.25">
      <c r="A18" t="s">
        <v>16</v>
      </c>
      <c r="D18" s="2">
        <v>120</v>
      </c>
    </row>
    <row r="19" spans="1:4" x14ac:dyDescent="0.25">
      <c r="A19" t="s">
        <v>11</v>
      </c>
      <c r="D19" s="2">
        <v>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F592-098C-488A-94F6-07B14014127B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4</v>
      </c>
      <c r="B3" t="s">
        <v>5</v>
      </c>
      <c r="C3" t="s">
        <v>7</v>
      </c>
      <c r="D3">
        <v>30</v>
      </c>
    </row>
    <row r="4" spans="1:4" x14ac:dyDescent="0.25">
      <c r="A4" t="s">
        <v>4</v>
      </c>
      <c r="B4" t="s">
        <v>5</v>
      </c>
      <c r="C4" t="s">
        <v>8</v>
      </c>
      <c r="D4">
        <v>20</v>
      </c>
    </row>
    <row r="5" spans="1:4" x14ac:dyDescent="0.25">
      <c r="A5" t="s">
        <v>4</v>
      </c>
      <c r="B5" t="s">
        <v>9</v>
      </c>
      <c r="C5" t="s">
        <v>6</v>
      </c>
      <c r="D5">
        <v>40</v>
      </c>
    </row>
    <row r="6" spans="1:4" x14ac:dyDescent="0.25">
      <c r="A6" t="s">
        <v>4</v>
      </c>
      <c r="B6" t="s">
        <v>9</v>
      </c>
      <c r="C6" t="s">
        <v>7</v>
      </c>
      <c r="D6">
        <v>20</v>
      </c>
    </row>
    <row r="7" spans="1:4" x14ac:dyDescent="0.25">
      <c r="A7" t="s">
        <v>4</v>
      </c>
      <c r="B7" t="s">
        <v>9</v>
      </c>
      <c r="C7" t="s">
        <v>8</v>
      </c>
      <c r="D7">
        <v>5</v>
      </c>
    </row>
    <row r="8" spans="1:4" x14ac:dyDescent="0.25">
      <c r="A8" t="s">
        <v>10</v>
      </c>
      <c r="B8" t="s">
        <v>5</v>
      </c>
      <c r="C8" t="s">
        <v>6</v>
      </c>
      <c r="D8">
        <v>5</v>
      </c>
    </row>
    <row r="9" spans="1:4" x14ac:dyDescent="0.25">
      <c r="A9" t="s">
        <v>10</v>
      </c>
      <c r="B9" t="s">
        <v>5</v>
      </c>
      <c r="C9" t="s">
        <v>7</v>
      </c>
      <c r="D9">
        <v>25</v>
      </c>
    </row>
    <row r="10" spans="1:4" x14ac:dyDescent="0.25">
      <c r="A10" t="s">
        <v>10</v>
      </c>
      <c r="B10" t="s">
        <v>5</v>
      </c>
      <c r="C10" t="s">
        <v>8</v>
      </c>
      <c r="D10">
        <v>15</v>
      </c>
    </row>
    <row r="11" spans="1:4" x14ac:dyDescent="0.25">
      <c r="A11" t="s">
        <v>10</v>
      </c>
      <c r="B11" t="s">
        <v>9</v>
      </c>
      <c r="C11" t="s">
        <v>6</v>
      </c>
      <c r="D11">
        <v>35</v>
      </c>
    </row>
    <row r="12" spans="1:4" x14ac:dyDescent="0.25">
      <c r="A12" t="s">
        <v>10</v>
      </c>
      <c r="B12" t="s">
        <v>9</v>
      </c>
      <c r="C12" t="s">
        <v>7</v>
      </c>
      <c r="D12">
        <v>15</v>
      </c>
    </row>
    <row r="13" spans="1:4" x14ac:dyDescent="0.25">
      <c r="A13" t="s">
        <v>10</v>
      </c>
      <c r="B13" t="s">
        <v>9</v>
      </c>
      <c r="C13" t="s">
        <v>8</v>
      </c>
      <c r="D1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2026-09-28T23:52:14Z</dcterms:created>
  <dcterms:modified xsi:type="dcterms:W3CDTF">2026-09-28T23:52:15Z</dcterms:modified>
</cp:coreProperties>
</file>