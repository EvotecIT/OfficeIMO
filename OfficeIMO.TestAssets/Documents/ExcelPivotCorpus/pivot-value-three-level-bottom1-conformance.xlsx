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8306FBF5-F0F8-41BB-8E81-1B79F2D0AB28}" xr6:coauthVersionLast="47" xr6:coauthVersionMax="47" xr10:uidLastSave="{00000000-0000-0000-0000-000000000000}"/>
  <bookViews>
    <workbookView xWindow="-120" yWindow="-120" windowWidth="38640" windowHeight="10320" xr2:uid="{2106B7E4-9F03-4EC6-962E-F33E032EE432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<sst xmlns="http://schemas.openxmlformats.org/spreadsheetml/2006/main" count="61" uniqueCount="17">
  <si>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</si>
  <si>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</si>
  <si>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</si>
  <si>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</si>
  <si>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</si>
  <si>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</si>
  <si>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</si>
  <si>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</si>
  <si>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</si>
  <si>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</si>
  <si>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</si>
  <si>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</si>
  <si>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</si>
  <si>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A Total</t>
  </si>
  <si>
    <t>B Total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</si>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</sst>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90584259262" createdVersion="6" refreshedVersion="8" minRefreshableVersion="3" recordCount="12" xr:uid="{E27EC050-1051-4947-BA8B-EF4AD6F6CCB1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05A39-FC24-4592-9461-AA4D5513FA98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15" firstHeaderRow="1" firstDataRow="1" firstDataCol="3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4">
        <item x="1"/>
        <item x="2"/>
        <item x="0"/>
        <item t="default"/>
      </items>
    </pivotField>
    <pivotField dataField="1" compact="0" outline="0" showAll="0"/>
  </pivotFields>
  <rowFields count="3">
    <field x="0"/>
    <field x="1"/>
    <field x="2"/>
  </rowFields>
  <rowItems count="11">
    <i>
      <x/>
      <x/>
      <x v="2"/>
    </i>
    <i t="default" r="1">
      <x/>
    </i>
    <i r="1">
      <x v="1"/>
      <x v="1"/>
    </i>
    <i t="default" r="1">
      <x v="1"/>
    </i>
    <i t="default">
      <x/>
    </i>
    <i>
      <x v="1"/>
      <x/>
      <x v="2"/>
    </i>
    <i t="default" r="1">
      <x/>
    </i>
    <i r="1">
      <x v="1"/>
      <x/>
    </i>
    <i t="default" r="1">
      <x v="1"/>
    </i>
    <i t="default">
      <x v="1"/>
    </i>
    <i t="grand">
      <x/>
    </i>
  </rowItems>
  <colItems count="1">
    <i/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3A1D-D420-4680-9C53-BB2B4D657690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35</v>
      </c>
    </row>
    <row r="2" spans="2:2" x14ac:dyDescent="0.25">
      <c r="B2">
        <f>GETPIVOTDATA("Metric",Grouped!$A$4,"Region","East","Product","A","Channel","Retail")</f>
        <v>10</v>
      </c>
    </row>
    <row r="3" spans="2:2" x14ac:dyDescent="0.25">
      <c r="B3" t="e">
        <f>GETPIVOTDATA("Metric",Grouped!$A$4,"Region","East","Product","A","Channel","Online")</f>
        <v>#REF!</v>
      </c>
    </row>
    <row r="4" spans="2:2" x14ac:dyDescent="0.25">
      <c r="B4" t="e">
        <f>GETPIVOTDATA("Metric",Grouped!$A$4,"Region","East","Product","A","Channel","Partner")</f>
        <v>#REF!</v>
      </c>
    </row>
    <row r="5" spans="2:2" x14ac:dyDescent="0.25">
      <c r="B5" t="e">
        <f>GETPIVOTDATA("Metric",Grouped!$A$4,"Region","East","Product","B","Channel","Retail")</f>
        <v>#REF!</v>
      </c>
    </row>
    <row r="6" spans="2:2" x14ac:dyDescent="0.25">
      <c r="B6" t="e">
        <f>GETPIVOTDATA("Metric",Grouped!$A$4,"Region","East","Product","B","Channel","Online")</f>
        <v>#REF!</v>
      </c>
    </row>
    <row r="7" spans="2:2" x14ac:dyDescent="0.25">
      <c r="B7">
        <f>GETPIVOTDATA("Metric",Grouped!$A$4,"Region","East","Product","B","Channel","Partner")</f>
        <v>5</v>
      </c>
    </row>
    <row r="8" spans="2:2" x14ac:dyDescent="0.25">
      <c r="B8">
        <f>GETPIVOTDATA("Metric",Grouped!$A$4,"Region","West","Product","A","Channel","Retail")</f>
        <v>5</v>
      </c>
    </row>
    <row r="9" spans="2:2" x14ac:dyDescent="0.25">
      <c r="B9" t="e">
        <f>GETPIVOTDATA("Metric",Grouped!$A$4,"Region","West","Product","A","Channel","Online")</f>
        <v>#REF!</v>
      </c>
    </row>
    <row r="10" spans="2:2" x14ac:dyDescent="0.25">
      <c r="B10" t="e">
        <f>GETPIVOTDATA("Metric",Grouped!$A$4,"Region","West","Product","A","Channel","Partner")</f>
        <v>#REF!</v>
      </c>
    </row>
    <row r="11" spans="2:2" x14ac:dyDescent="0.25">
      <c r="B11" t="e">
        <f>GETPIVOTDATA("Metric",Grouped!$A$4,"Region","West","Product","B","Channel","Retail")</f>
        <v>#REF!</v>
      </c>
    </row>
    <row r="12" spans="2:2" x14ac:dyDescent="0.25">
      <c r="B12">
        <f>GETPIVOTDATA("Metric",Grouped!$A$4,"Region","West","Product","B","Channel","Online")</f>
        <v>15</v>
      </c>
    </row>
    <row r="13" spans="2:2" x14ac:dyDescent="0.25">
      <c r="B13" t="e">
        <f>GETPIVOTDATA("Metric",Grouped!$A$4,"Region","West","Product","B","Channel","Partner")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4A7B-8220-46AB-934F-BA2E0EAC2E94}">
  <dimension ref="A4:D15"/>
  <sheetViews>
    <sheetView workbookViewId="0"/>
  </sheetViews>
  <sheetFormatPr defaultRowHeight="15" x14ac:dyDescent="0.25"/>
  <cols>
    <col min="1" max="1" width="13.42578125" bestFit="1" customWidth="1"/>
    <col min="2" max="2" width="6.7109375" bestFit="1" customWidth="1"/>
    <col min="3" max="3" width="10.85546875" bestFit="1" customWidth="1"/>
    <col min="4" max="4" width="6.7109375" bestFit="1" customWidth="1"/>
  </cols>
  <sheetData>
    <row r="4" spans="1:4" x14ac:dyDescent="0.25">
      <c r="A4" s="1" t="s">
        <v>0</v>
      </c>
      <c r="B4" s="1" t="s">
        <v>1</v>
      </c>
      <c r="C4" s="1" t="s">
        <v>2</v>
      </c>
      <c r="D4" t="s">
        <v>12</v>
      </c>
    </row>
    <row r="5" spans="1:4" x14ac:dyDescent="0.25">
      <c r="A5" t="s">
        <v>4</v>
      </c>
      <c r="B5" t="s">
        <v>5</v>
      </c>
      <c r="C5" t="s">
        <v>6</v>
      </c>
      <c r="D5" s="2">
        <v>10</v>
      </c>
    </row>
    <row r="6" spans="1:4" x14ac:dyDescent="0.25">
      <c r="B6" t="s">
        <v>13</v>
      </c>
      <c r="D6" s="2">
        <v>10</v>
      </c>
    </row>
    <row r="7" spans="1:4" x14ac:dyDescent="0.25">
      <c r="B7" t="s">
        <v>9</v>
      </c>
      <c r="C7" t="s">
        <v>8</v>
      </c>
      <c r="D7" s="2">
        <v>5</v>
      </c>
    </row>
    <row r="8" spans="1:4" x14ac:dyDescent="0.25">
      <c r="B8" t="s">
        <v>14</v>
      </c>
      <c r="D8" s="2">
        <v>5</v>
      </c>
    </row>
    <row r="9" spans="1:4" x14ac:dyDescent="0.25">
      <c r="A9" t="s">
        <v>15</v>
      </c>
      <c r="D9" s="2">
        <v>15</v>
      </c>
    </row>
    <row r="10" spans="1:4" x14ac:dyDescent="0.25">
      <c r="A10" t="s">
        <v>10</v>
      </c>
      <c r="B10" t="s">
        <v>5</v>
      </c>
      <c r="C10" t="s">
        <v>6</v>
      </c>
      <c r="D10" s="2">
        <v>5</v>
      </c>
    </row>
    <row r="11" spans="1:4" x14ac:dyDescent="0.25">
      <c r="B11" t="s">
        <v>13</v>
      </c>
      <c r="D11" s="2">
        <v>5</v>
      </c>
    </row>
    <row r="12" spans="1:4" x14ac:dyDescent="0.25">
      <c r="B12" t="s">
        <v>9</v>
      </c>
      <c r="C12" t="s">
        <v>7</v>
      </c>
      <c r="D12" s="2">
        <v>15</v>
      </c>
    </row>
    <row r="13" spans="1:4" x14ac:dyDescent="0.25">
      <c r="B13" t="s">
        <v>14</v>
      </c>
      <c r="D13" s="2">
        <v>15</v>
      </c>
    </row>
    <row r="14" spans="1:4" x14ac:dyDescent="0.25">
      <c r="A14" t="s">
        <v>16</v>
      </c>
      <c r="D14" s="2">
        <v>20</v>
      </c>
    </row>
    <row r="15" spans="1:4" x14ac:dyDescent="0.25">
      <c r="A15" t="s">
        <v>11</v>
      </c>
      <c r="D15" s="2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ED26-164E-484B-A9FD-9F0D89C83B45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2026-09-29T00:10:25Z</dcterms:created>
  <dcterms:modified xsi:type="dcterms:W3CDTF">2026-09-29T00:10:26Z</dcterms:modified>
</cp:coreProperties>
</file>