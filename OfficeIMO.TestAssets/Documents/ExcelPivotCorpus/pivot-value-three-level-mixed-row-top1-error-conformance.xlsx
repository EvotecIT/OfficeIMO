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354DF2E3-595A-4EF7-9EF5-6DBBA80CB2A1}" xr6:coauthVersionLast="47" xr6:coauthVersionMax="47" xr10:uidLastSave="{00000000-0000-0000-0000-000000000000}"/>
  <bookViews>
    <workbookView xWindow="-120" yWindow="-120" windowWidth="38640" windowHeight="10320" xr2:uid="{B961F3A9-184A-4429-B56F-BF16AEDAAD77}"/>
  </bookViews>
  <sheets>
    <sheet name="Lookups" sheetId="3" r:id="rId1"/>
    <sheet name="Grouped" sheetId="2" r:id="rId2"/>
    <sheet name="Source" sheetId="1" r:id="rId3"/>
  </sheets>
  <calcPr calcId="191029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" i="1" l="1"/>
  <c r="B13" i="3"/>
  <c r="B12" i="3"/>
  <c r="B11" i="3"/>
  <c r="B10" i="3"/>
  <c r="B9" i="3"/>
  <c r="B8" i="3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<sst xmlns="http://schemas.openxmlformats.org/spreadsheetml/2006/main" count="55" uniqueCount="15">
  <si>
    <t>Region</t>
  </si>
  <si>
    <t>Product</t>
  </si>
  <si>
    <t>Channel</t>
  </si>
  <si>
    <t>Sales</t>
  </si>
  <si>
    <t>East</t>
  </si>
  <si>
    <t>A</t>
  </si>
  <si>
    <t>Retail</t>
  </si>
  <si>
    <t>Online</t>
  </si>
  <si>
    <t>Partner</t>
  </si>
  <si>
    <t>B</t>
  </si>
  <si>
    <t>West</t>
  </si>
  <si>
    <t>Grand Total</t>
  </si>
  <si>
    <t>Metric</t>
  </si>
  <si>
    <t>East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</si>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</sst>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4.149275462965" createdVersion="6" refreshedVersion="8" minRefreshableVersion="3" recordCount="12" xr:uid="{0CDA90F1-28BD-4EF5-B93B-15084CC66F28}">
  <cacheSource type="worksheet">
    <worksheetSource ref="A1:D13" sheet="Source"/>
  </cacheSource>
  <cacheFields count="4">
    <cacheField name="Region" numFmtId="0">
      <sharedItems count="2">
        <s v="East"/>
        <s v="West"/>
      </sharedItems>
    </cacheField>
    <cacheField name="Product" numFmtId="0">
      <sharedItems count="2">
        <s v="A"/>
        <s v="B"/>
      </sharedItems>
    </cacheField>
    <cacheField name="Channel" numFmtId="0">
      <sharedItems count="3">
        <s v="Retail"/>
        <s v="Online"/>
        <s v="Partner"/>
      </sharedItems>
    </cacheField>
    <cacheField name="Sales" numFmtId="0">
      <sharedItems containsMixedTypes="1" containsNumber="1" containsInteger="1" minValue="5" maxValue="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n v="10"/>
  </r>
  <r>
    <x v="0"/>
    <x v="0"/>
    <x v="1"/>
    <n v="30"/>
  </r>
  <r>
    <x v="0"/>
    <x v="0"/>
    <x v="2"/>
    <n v="20"/>
  </r>
  <r>
    <x v="0"/>
    <x v="1"/>
    <x v="0"/>
    <e v="#DIV/0!"/>
  </r>
  <r>
    <x v="0"/>
    <x v="1"/>
    <x v="1"/>
    <n v="20"/>
  </r>
  <r>
    <x v="0"/>
    <x v="1"/>
    <x v="2"/>
    <n v="5"/>
  </r>
  <r>
    <x v="1"/>
    <x v="0"/>
    <x v="0"/>
    <n v="5"/>
  </r>
  <r>
    <x v="1"/>
    <x v="0"/>
    <x v="1"/>
    <n v="25"/>
  </r>
  <r>
    <x v="1"/>
    <x v="0"/>
    <x v="2"/>
    <n v="15"/>
  </r>
  <r>
    <x v="1"/>
    <x v="1"/>
    <x v="0"/>
    <n v="35"/>
  </r>
  <r>
    <x v="1"/>
    <x v="1"/>
    <x v="1"/>
    <n v="15"/>
  </r>
  <r>
    <x v="1"/>
    <x v="1"/>
    <x v="2"/>
    <n v="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ED9EAE-147A-4864-8035-B6DA2F4465B2}" name="ValuePivot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F10" firstHeaderRow="1" firstDataRow="2" firstDataCol="2"/>
  <pivotFields count="4">
    <pivotField axis="axisRow" compact="0" outline="0" showAll="0">
      <items count="3">
        <item x="0"/>
        <item x="1"/>
        <item t="default"/>
      </items>
    </pivotField>
    <pivotField axis="axisRow" compact="0" outline="0" showAll="0" measureFilter="1">
      <items count="3">
        <item x="0"/>
        <item x="1"/>
        <item t="default"/>
      </items>
    </pivotField>
    <pivotField axis="axisCol" compact="0" outline="0" showAll="0">
      <items count="4">
        <item x="1"/>
        <item x="2"/>
        <item x="0"/>
        <item t="default"/>
      </items>
    </pivotField>
    <pivotField dataField="1" compact="0" outline="0" showAll="0"/>
  </pivotFields>
  <rowFields count="2">
    <field x="0"/>
    <field x="1"/>
  </rowFields>
  <rowItems count="5">
    <i>
      <x/>
      <x/>
    </i>
    <i t="default">
      <x/>
    </i>
    <i>
      <x v="1"/>
      <x v="1"/>
    </i>
    <i t="default">
      <x v="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Metric" fld="3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CBA60-637A-4F53-B035-CB8B2E3899C6}">
  <dimension ref="B1:B13"/>
  <sheetViews>
    <sheetView tabSelected="1" workbookViewId="0"/>
  </sheetViews>
  <sheetFormatPr defaultRowHeight="15" x14ac:dyDescent="0.25"/>
  <sheetData>
    <row r="1" spans="2:2" x14ac:dyDescent="0.25">
      <c r="B1">
        <f>GETPIVOTDATA("Metric",Grouped!$A$4)</f>
        <v>155</v>
      </c>
    </row>
    <row r="2" spans="2:2" x14ac:dyDescent="0.25">
      <c r="B2">
        <f>GETPIVOTDATA("Metric",Grouped!$A$4,"Region","East","Product","A","Channel","Retail")</f>
        <v>10</v>
      </c>
    </row>
    <row r="3" spans="2:2" x14ac:dyDescent="0.25">
      <c r="B3">
        <f>GETPIVOTDATA("Metric",Grouped!$A$4,"Region","East","Product","A","Channel","Online")</f>
        <v>30</v>
      </c>
    </row>
    <row r="4" spans="2:2" x14ac:dyDescent="0.25">
      <c r="B4">
        <f>GETPIVOTDATA("Metric",Grouped!$A$4,"Region","East","Product","A","Channel","Partner")</f>
        <v>20</v>
      </c>
    </row>
    <row r="5" spans="2:2" x14ac:dyDescent="0.25">
      <c r="B5" t="e">
        <f>GETPIVOTDATA("Metric",Grouped!$A$4,"Region","East","Product","B","Channel","Retail")</f>
        <v>#REF!</v>
      </c>
    </row>
    <row r="6" spans="2:2" x14ac:dyDescent="0.25">
      <c r="B6" t="e">
        <f>GETPIVOTDATA("Metric",Grouped!$A$4,"Region","East","Product","B","Channel","Online")</f>
        <v>#REF!</v>
      </c>
    </row>
    <row r="7" spans="2:2" x14ac:dyDescent="0.25">
      <c r="B7" t="e">
        <f>GETPIVOTDATA("Metric",Grouped!$A$4,"Region","East","Product","B","Channel","Partner")</f>
        <v>#REF!</v>
      </c>
    </row>
    <row r="8" spans="2:2" x14ac:dyDescent="0.25">
      <c r="B8" t="e">
        <f>GETPIVOTDATA("Metric",Grouped!$A$4,"Region","West","Product","A","Channel","Retail")</f>
        <v>#REF!</v>
      </c>
    </row>
    <row r="9" spans="2:2" x14ac:dyDescent="0.25">
      <c r="B9" t="e">
        <f>GETPIVOTDATA("Metric",Grouped!$A$4,"Region","West","Product","A","Channel","Online")</f>
        <v>#REF!</v>
      </c>
    </row>
    <row r="10" spans="2:2" x14ac:dyDescent="0.25">
      <c r="B10" t="e">
        <f>GETPIVOTDATA("Metric",Grouped!$A$4,"Region","West","Product","A","Channel","Partner")</f>
        <v>#REF!</v>
      </c>
    </row>
    <row r="11" spans="2:2" x14ac:dyDescent="0.25">
      <c r="B11">
        <f>GETPIVOTDATA("Metric",Grouped!$A$4,"Region","West","Product","B","Channel","Retail")</f>
        <v>35</v>
      </c>
    </row>
    <row r="12" spans="2:2" x14ac:dyDescent="0.25">
      <c r="B12">
        <f>GETPIVOTDATA("Metric",Grouped!$A$4,"Region","West","Product","B","Channel","Online")</f>
        <v>15</v>
      </c>
    </row>
    <row r="13" spans="2:2" x14ac:dyDescent="0.25">
      <c r="B13">
        <f>GETPIVOTDATA("Metric",Grouped!$A$4,"Region","West","Product","B","Channel","Partner")</f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EDE00-76F4-41DF-ADEC-BF60A04531E4}">
  <dimension ref="A4:F10"/>
  <sheetViews>
    <sheetView workbookViewId="0"/>
  </sheetViews>
  <sheetFormatPr defaultRowHeight="15" x14ac:dyDescent="0.25"/>
  <cols>
    <col min="1" max="1" width="13.42578125" bestFit="1" customWidth="1"/>
    <col min="2" max="2" width="10.28515625" bestFit="1" customWidth="1"/>
    <col min="3" max="5" width="10.85546875" bestFit="1" customWidth="1"/>
    <col min="6" max="6" width="11.28515625" bestFit="1" customWidth="1"/>
  </cols>
  <sheetData>
    <row r="4" spans="1:6" x14ac:dyDescent="0.25">
      <c r="A4" s="1" t="s">
        <v>12</v>
      </c>
      <c r="C4" s="1" t="s">
        <v>2</v>
      </c>
    </row>
    <row r="5" spans="1:6" x14ac:dyDescent="0.25">
      <c r="A5" s="1" t="s">
        <v>0</v>
      </c>
      <c r="B5" s="1" t="s">
        <v>1</v>
      </c>
      <c r="C5" t="s">
        <v>7</v>
      </c>
      <c r="D5" t="s">
        <v>8</v>
      </c>
      <c r="E5" t="s">
        <v>6</v>
      </c>
      <c r="F5" t="s">
        <v>11</v>
      </c>
    </row>
    <row r="6" spans="1:6" x14ac:dyDescent="0.25">
      <c r="A6" t="s">
        <v>4</v>
      </c>
      <c r="B6" t="s">
        <v>5</v>
      </c>
      <c r="C6" s="2">
        <v>30</v>
      </c>
      <c r="D6" s="2">
        <v>20</v>
      </c>
      <c r="E6" s="2">
        <v>10</v>
      </c>
      <c r="F6" s="2">
        <v>60</v>
      </c>
    </row>
    <row r="7" spans="1:6" x14ac:dyDescent="0.25">
      <c r="A7" t="s">
        <v>13</v>
      </c>
      <c r="C7" s="2">
        <v>30</v>
      </c>
      <c r="D7" s="2">
        <v>20</v>
      </c>
      <c r="E7" s="2">
        <v>10</v>
      </c>
      <c r="F7" s="2">
        <v>60</v>
      </c>
    </row>
    <row r="8" spans="1:6" x14ac:dyDescent="0.25">
      <c r="A8" t="s">
        <v>10</v>
      </c>
      <c r="B8" t="s">
        <v>9</v>
      </c>
      <c r="C8" s="2">
        <v>15</v>
      </c>
      <c r="D8" s="2">
        <v>45</v>
      </c>
      <c r="E8" s="2">
        <v>35</v>
      </c>
      <c r="F8" s="2">
        <v>95</v>
      </c>
    </row>
    <row r="9" spans="1:6" x14ac:dyDescent="0.25">
      <c r="A9" t="s">
        <v>14</v>
      </c>
      <c r="C9" s="2">
        <v>15</v>
      </c>
      <c r="D9" s="2">
        <v>45</v>
      </c>
      <c r="E9" s="2">
        <v>35</v>
      </c>
      <c r="F9" s="2">
        <v>95</v>
      </c>
    </row>
    <row r="10" spans="1:6" x14ac:dyDescent="0.25">
      <c r="A10" t="s">
        <v>11</v>
      </c>
      <c r="C10" s="2">
        <v>45</v>
      </c>
      <c r="D10" s="2">
        <v>65</v>
      </c>
      <c r="E10" s="2">
        <v>45</v>
      </c>
      <c r="F10" s="2">
        <v>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4BA80-0510-4FCF-8DCF-C3664E20BD0D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10</v>
      </c>
    </row>
    <row r="3" spans="1:4" x14ac:dyDescent="0.25">
      <c r="A3" t="s">
        <v>4</v>
      </c>
      <c r="B3" t="s">
        <v>5</v>
      </c>
      <c r="C3" t="s">
        <v>7</v>
      </c>
      <c r="D3">
        <v>30</v>
      </c>
    </row>
    <row r="4" spans="1:4" x14ac:dyDescent="0.25">
      <c r="A4" t="s">
        <v>4</v>
      </c>
      <c r="B4" t="s">
        <v>5</v>
      </c>
      <c r="C4" t="s">
        <v>8</v>
      </c>
      <c r="D4">
        <v>20</v>
      </c>
    </row>
    <row r="5" spans="1:4" x14ac:dyDescent="0.25">
      <c r="A5" t="s">
        <v>4</v>
      </c>
      <c r="B5" t="s">
        <v>9</v>
      </c>
      <c r="C5" t="s">
        <v>6</v>
      </c>
      <c r="D5" t="e">
        <f>1/0</f>
        <v>#DIV/0!</v>
      </c>
    </row>
    <row r="6" spans="1:4" x14ac:dyDescent="0.25">
      <c r="A6" t="s">
        <v>4</v>
      </c>
      <c r="B6" t="s">
        <v>9</v>
      </c>
      <c r="C6" t="s">
        <v>7</v>
      </c>
      <c r="D6">
        <v>20</v>
      </c>
    </row>
    <row r="7" spans="1:4" x14ac:dyDescent="0.25">
      <c r="A7" t="s">
        <v>4</v>
      </c>
      <c r="B7" t="s">
        <v>9</v>
      </c>
      <c r="C7" t="s">
        <v>8</v>
      </c>
      <c r="D7">
        <v>5</v>
      </c>
    </row>
    <row r="8" spans="1:4" x14ac:dyDescent="0.25">
      <c r="A8" t="s">
        <v>10</v>
      </c>
      <c r="B8" t="s">
        <v>5</v>
      </c>
      <c r="C8" t="s">
        <v>6</v>
      </c>
      <c r="D8">
        <v>5</v>
      </c>
    </row>
    <row r="9" spans="1:4" x14ac:dyDescent="0.25">
      <c r="A9" t="s">
        <v>10</v>
      </c>
      <c r="B9" t="s">
        <v>5</v>
      </c>
      <c r="C9" t="s">
        <v>7</v>
      </c>
      <c r="D9">
        <v>25</v>
      </c>
    </row>
    <row r="10" spans="1:4" x14ac:dyDescent="0.25">
      <c r="A10" t="s">
        <v>10</v>
      </c>
      <c r="B10" t="s">
        <v>5</v>
      </c>
      <c r="C10" t="s">
        <v>8</v>
      </c>
      <c r="D10">
        <v>15</v>
      </c>
    </row>
    <row r="11" spans="1:4" x14ac:dyDescent="0.25">
      <c r="A11" t="s">
        <v>10</v>
      </c>
      <c r="B11" t="s">
        <v>9</v>
      </c>
      <c r="C11" t="s">
        <v>6</v>
      </c>
      <c r="D11">
        <v>35</v>
      </c>
    </row>
    <row r="12" spans="1:4" x14ac:dyDescent="0.25">
      <c r="A12" t="s">
        <v>10</v>
      </c>
      <c r="B12" t="s">
        <v>9</v>
      </c>
      <c r="C12" t="s">
        <v>7</v>
      </c>
      <c r="D12">
        <v>15</v>
      </c>
    </row>
    <row r="13" spans="1:4" x14ac:dyDescent="0.25">
      <c r="A13" t="s">
        <v>10</v>
      </c>
      <c r="B13" t="s">
        <v>9</v>
      </c>
      <c r="C13" t="s">
        <v>8</v>
      </c>
      <c r="D13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2026-09-29T01:34:56Z</dcterms:created>
  <dcterms:modified xsi:type="dcterms:W3CDTF">2026-09-29T01:34:57Z</dcterms:modified>
</cp:coreProperties>
</file>