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268EE8B-1F03-43A9-AFFC-4CB2123265ED}" xr6:coauthVersionLast="47" xr6:coauthVersionMax="47" xr10:uidLastSave="{00000000-0000-0000-0000-000000000000}"/>
  <bookViews>
    <workbookView xWindow="-110" yWindow="-110" windowWidth="38620" windowHeight="21100" xr2:uid="{D8FC24FA-0938-4CB7-9A16-81F912D9D378}"/>
  </bookViews>
  <sheets>
    <sheet name="Lookups" sheetId="3" r:id="rId1"/>
    <sheet name="Filter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<sst xmlns="http://schemas.openxmlformats.org/spreadsheetml/2006/main" count="29" uniqueCount="14">
  <si>
    <t>Region</t>
  </si>
  <si>
    <t>Product</t>
  </si>
  <si>
    <t>Amount</t>
  </si>
  <si>
    <t>North</t>
  </si>
  <si>
    <t>A</t>
  </si>
  <si>
    <t>B</t>
  </si>
  <si>
    <t>South</t>
  </si>
  <si>
    <t>West</t>
  </si>
  <si>
    <t>Grand Total</t>
  </si>
  <si>
    <t>Metric</t>
  </si>
  <si>
    <t>Grand</t>
  </si>
  <si>
    <t>ProductB</t>
  </si>
  <si>
    <t>ProductA</t>
  </si>
  <si>
    <t>NorthB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</si>
</sst>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36149189813" createdVersion="6" refreshedVersion="8" minRefreshableVersion="3" recordCount="6" xr:uid="{9A10FE3C-7690-4F7E-8913-2D0689EE5C7F}">
  <cacheSource type="worksheet">
    <worksheetSource ref="A1:C7" sheet="Source"/>
  </cacheSource>
  <cacheFields count="3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SemiMixedTypes="0" containsString="0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20"/>
  </r>
  <r>
    <x v="1"/>
    <x v="0"/>
    <n v="5"/>
  </r>
  <r>
    <x v="1"/>
    <x v="1"/>
    <n v="15"/>
  </r>
  <r>
    <x v="2"/>
    <x v="1"/>
    <n v="7"/>
  </r>
  <r>
    <x v="0"/>
    <x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E01FE-44C9-4785-86BA-15E438F31C37}" name="PivotFiltered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 rowPageCount="1" colPageCount="1"/>
  <pivotFields count="3">
    <pivotField axis="axisRow" compact="0" outline="0" showAll="0" defaultSubtotal="0">
      <items count="3">
        <item x="0"/>
        <item x="1"/>
        <item h="1" x="2"/>
      </items>
    </pivotField>
    <pivotField axis="axisPage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Metri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20DE-1EF7-4C15-9C7E-D7EAE09FD0DB}">
  <dimension ref="A1:B7"/>
  <sheetViews>
    <sheetView tabSelected="1" workbookViewId="0"/>
  </sheetViews>
  <sheetFormatPr defaultRowHeight="14.5" x14ac:dyDescent="0.35"/>
  <sheetData>
    <row r="1" spans="1:2" x14ac:dyDescent="0.35">
      <c r="A1" t="s">
        <v>10</v>
      </c>
      <c r="B1">
        <f>GETPIVOTDATA("Metric",Filtered!A4)</f>
        <v>38</v>
      </c>
    </row>
    <row r="2" spans="1:2" x14ac:dyDescent="0.35">
      <c r="A2" t="s">
        <v>3</v>
      </c>
      <c r="B2">
        <f>GETPIVOTDATA("Metric",Filtered!A4,"Region","North")</f>
        <v>23</v>
      </c>
    </row>
    <row r="3" spans="1:2" x14ac:dyDescent="0.35">
      <c r="A3" t="s">
        <v>6</v>
      </c>
      <c r="B3">
        <f>GETPIVOTDATA("Metric",Filtered!A4,"Region","South")</f>
        <v>15</v>
      </c>
    </row>
    <row r="4" spans="1:2" x14ac:dyDescent="0.35">
      <c r="A4" t="s">
        <v>7</v>
      </c>
      <c r="B4" t="e">
        <f>GETPIVOTDATA("Metric",Filtered!A4,"Region","West")</f>
        <v>#REF!</v>
      </c>
    </row>
    <row r="5" spans="1:2" x14ac:dyDescent="0.35">
      <c r="A5" t="s">
        <v>11</v>
      </c>
      <c r="B5">
        <f>GETPIVOTDATA("Metric",Filtered!A4,"Product","B")</f>
        <v>38</v>
      </c>
    </row>
    <row r="6" spans="1:2" x14ac:dyDescent="0.35">
      <c r="A6" t="s">
        <v>12</v>
      </c>
      <c r="B6" t="e">
        <f>GETPIVOTDATA("Metric",Filtered!A4,"Product","A")</f>
        <v>#REF!</v>
      </c>
    </row>
    <row r="7" spans="1:2" x14ac:dyDescent="0.35">
      <c r="A7" t="s">
        <v>13</v>
      </c>
      <c r="B7">
        <f>GETPIVOTDATA("Metric",Filtered!A4,"Region","North","Product","B")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AB55-258D-4221-9514-AD049E6AE4A1}">
  <dimension ref="A2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2" spans="1:2" x14ac:dyDescent="0.35">
      <c r="A2" s="1" t="s">
        <v>1</v>
      </c>
      <c r="B2" t="s">
        <v>5</v>
      </c>
    </row>
    <row r="4" spans="1:2" x14ac:dyDescent="0.35">
      <c r="A4" s="1" t="s">
        <v>0</v>
      </c>
      <c r="B4" t="s">
        <v>9</v>
      </c>
    </row>
    <row r="5" spans="1:2" x14ac:dyDescent="0.35">
      <c r="A5" t="s">
        <v>3</v>
      </c>
      <c r="B5" s="2">
        <v>23</v>
      </c>
    </row>
    <row r="6" spans="1:2" x14ac:dyDescent="0.35">
      <c r="A6" t="s">
        <v>6</v>
      </c>
      <c r="B6" s="2">
        <v>15</v>
      </c>
    </row>
    <row r="7" spans="1:2" x14ac:dyDescent="0.35">
      <c r="A7" t="s">
        <v>8</v>
      </c>
      <c r="B7" s="2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BED8-F558-43D7-B117-7179C559F7A2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7</v>
      </c>
      <c r="B6" t="s">
        <v>5</v>
      </c>
      <c r="C6">
        <v>7</v>
      </c>
    </row>
    <row r="7" spans="1:3" x14ac:dyDescent="0.35">
      <c r="A7" t="s">
        <v>3</v>
      </c>
      <c r="B7" t="s">
        <v>5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Filtered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2026-09-28T01:16:02Z</dcterms:created>
  <dcterms:modified xsi:type="dcterms:W3CDTF">2026-09-28T01:16:03Z</dcterms:modified>
</cp:coreProperties>
</file>