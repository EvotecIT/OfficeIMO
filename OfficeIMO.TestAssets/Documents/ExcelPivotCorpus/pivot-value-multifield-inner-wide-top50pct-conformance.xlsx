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AppData\Local\Temp\OfficeIMO-pivot-wide-20260928\"/>
    </mc:Choice>
  </mc:AlternateContent>
  <xr:revisionPtr revIDLastSave="0" documentId="8_{27C2E380-049A-4FF9-933E-37E472F09C8A}" xr6:coauthVersionLast="47" xr6:coauthVersionMax="47" xr10:uidLastSave="{00000000-0000-0000-0000-000000000000}"/>
  <bookViews>
    <workbookView xWindow="-98" yWindow="16170" windowWidth="28996" windowHeight="15675" xr2:uid="{1353AD3C-8F0A-485D-A523-239040D702A6}"/>
  </bookViews>
  <sheets>
    <sheet name="Lookups" sheetId="3" r:id="rId1"/>
    <sheet name="Grouped" sheetId="2" r:id="rId2"/>
    <sheet name="Source" sheetId="1" r:id="rId3"/>
  </sheets>
  <calcPr calcId="191029"/>
  <pivotCaches>
    <pivotCache cacheId="2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0" i="3" l="1"/>
  <c r="B9" i="3"/>
  <c r="B8" i="3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<sst xmlns="http://schemas.openxmlformats.org/spreadsheetml/2006/main" count="34" uniqueCount="14">
  <si>
    <t>Region</t>
  </si>
  <si>
    <t>Product</t>
  </si>
  <si>
    <t>Sales</t>
  </si>
  <si>
    <t>East</t>
  </si>
  <si>
    <t>A</t>
  </si>
  <si>
    <t>B</t>
  </si>
  <si>
    <t>C</t>
  </si>
  <si>
    <t>West</t>
  </si>
  <si>
    <t>South</t>
  </si>
  <si>
    <t>Grand Total</t>
  </si>
  <si>
    <t>Metric</t>
  </si>
  <si>
    <t>East Total</t>
  </si>
  <si>
    <t>South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</si>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</sst>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80014583336" createdVersion="6" refreshedVersion="8" minRefreshableVersion="3" recordCount="9" xr:uid="{1443F2D0-FE1D-446B-97D9-A7D0C081B06C}">
  <cacheSource type="worksheet">
    <worksheetSource ref="A1:C10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3">
        <s v="A"/>
        <s v="B"/>
        <s v="C"/>
      </sharedItems>
    </cacheField>
    <cacheField name="Sales" numFmtId="0">
      <sharedItems containsSemiMixedTypes="0" containsString="0" containsNumber="1" containsInteger="1" minValue="-20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n v="10"/>
  </r>
  <r>
    <x v="0"/>
    <x v="1"/>
    <n v="50"/>
  </r>
  <r>
    <x v="0"/>
    <x v="2"/>
    <n v="-20"/>
  </r>
  <r>
    <x v="1"/>
    <x v="0"/>
    <n v="40"/>
  </r>
  <r>
    <x v="1"/>
    <x v="1"/>
    <n v="20"/>
  </r>
  <r>
    <x v="1"/>
    <x v="2"/>
    <n v="0"/>
  </r>
  <r>
    <x v="2"/>
    <x v="0"/>
    <n v="5"/>
  </r>
  <r>
    <x v="2"/>
    <x v="1"/>
    <n v="60"/>
  </r>
  <r>
    <x v="2"/>
    <x v="2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7C5AC2-0E8C-429A-A39E-AD64449477FA}" name="ValuePivot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11" firstHeaderRow="1" firstDataRow="1" firstDataCol="2"/>
  <pivotFields count="3">
    <pivotField axis="axisRow" compact="0" outline="0" showAll="0">
      <items count="4">
        <item x="0"/>
        <item x="2"/>
        <item x="1"/>
        <item t="default"/>
      </items>
    </pivotField>
    <pivotField axis="axisRow" compact="0" outline="0" showAll="0" measureFilter="1">
      <items count="4">
        <item x="0"/>
        <item x="1"/>
        <item x="2"/>
        <item t="default"/>
      </items>
    </pivotField>
    <pivotField dataField="1" compact="0" outline="0" showAll="0"/>
  </pivotFields>
  <rowFields count="2">
    <field x="0"/>
    <field x="1"/>
  </rowFields>
  <rowItems count="7">
    <i>
      <x/>
      <x v="1"/>
    </i>
    <i t="default">
      <x/>
    </i>
    <i>
      <x v="1"/>
      <x v="1"/>
    </i>
    <i t="default">
      <x v="1"/>
    </i>
    <i>
      <x v="2"/>
      <x/>
    </i>
    <i t="default">
      <x v="2"/>
    </i>
    <i t="grand">
      <x/>
    </i>
  </rowItems>
  <colItems count="1">
    <i/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1" type="percent" evalOrder="-1" id="1" iMeasureFld="0">
      <autoFilter ref="A1">
        <filterColumn colId="0">
          <top10 percent="1" val="50" filterVal="5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F6088-ADBC-467C-9388-DC3B93FE947E}">
  <dimension ref="B1:B10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150</v>
      </c>
    </row>
    <row r="2" spans="2:2" x14ac:dyDescent="0.35">
      <c r="B2" t="e">
        <f>GETPIVOTDATA("Metric",Grouped!$A$4,"Region","East","Product","A")</f>
        <v>#REF!</v>
      </c>
    </row>
    <row r="3" spans="2:2" x14ac:dyDescent="0.35">
      <c r="B3">
        <f>GETPIVOTDATA("Metric",Grouped!$A$4,"Region","East","Product","B")</f>
        <v>50</v>
      </c>
    </row>
    <row r="4" spans="2:2" x14ac:dyDescent="0.35">
      <c r="B4" t="e">
        <f>GETPIVOTDATA("Metric",Grouped!$A$4,"Region","East","Product","C")</f>
        <v>#REF!</v>
      </c>
    </row>
    <row r="5" spans="2:2" x14ac:dyDescent="0.35">
      <c r="B5">
        <f>GETPIVOTDATA("Metric",Grouped!$A$4,"Region","West","Product","A")</f>
        <v>40</v>
      </c>
    </row>
    <row r="6" spans="2:2" x14ac:dyDescent="0.35">
      <c r="B6" t="e">
        <f>GETPIVOTDATA("Metric",Grouped!$A$4,"Region","West","Product","B")</f>
        <v>#REF!</v>
      </c>
    </row>
    <row r="7" spans="2:2" x14ac:dyDescent="0.35">
      <c r="B7" t="e">
        <f>GETPIVOTDATA("Metric",Grouped!$A$4,"Region","West","Product","C")</f>
        <v>#REF!</v>
      </c>
    </row>
    <row r="8" spans="2:2" x14ac:dyDescent="0.35">
      <c r="B8" t="e">
        <f>GETPIVOTDATA("Metric",Grouped!$A$4,"Region","South","Product","A")</f>
        <v>#REF!</v>
      </c>
    </row>
    <row r="9" spans="2:2" x14ac:dyDescent="0.35">
      <c r="B9">
        <f>GETPIVOTDATA("Metric",Grouped!$A$4,"Region","South","Product","B")</f>
        <v>60</v>
      </c>
    </row>
    <row r="10" spans="2:2" x14ac:dyDescent="0.35">
      <c r="B10" t="e">
        <f>GETPIVOTDATA("Metric",Grouped!$A$4,"Region","South","Product","C")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99064-5F4A-4181-BB33-B093B487AB36}">
  <dimension ref="A4:C11"/>
  <sheetViews>
    <sheetView workbookViewId="0"/>
  </sheetViews>
  <sheetFormatPr defaultRowHeight="14.5" x14ac:dyDescent="0.35"/>
  <cols>
    <col min="1" max="1" width="12.453125" bestFit="1" customWidth="1"/>
    <col min="2" max="2" width="9.6328125" bestFit="1" customWidth="1"/>
    <col min="3" max="3" width="6.08984375" bestFit="1" customWidth="1"/>
  </cols>
  <sheetData>
    <row r="4" spans="1:3" x14ac:dyDescent="0.35">
      <c r="A4" s="1" t="s">
        <v>0</v>
      </c>
      <c r="B4" s="1" t="s">
        <v>1</v>
      </c>
      <c r="C4" t="s">
        <v>10</v>
      </c>
    </row>
    <row r="5" spans="1:3" x14ac:dyDescent="0.35">
      <c r="A5" t="s">
        <v>3</v>
      </c>
      <c r="B5" t="s">
        <v>5</v>
      </c>
      <c r="C5" s="2">
        <v>50</v>
      </c>
    </row>
    <row r="6" spans="1:3" x14ac:dyDescent="0.35">
      <c r="A6" t="s">
        <v>11</v>
      </c>
      <c r="C6" s="2">
        <v>50</v>
      </c>
    </row>
    <row r="7" spans="1:3" x14ac:dyDescent="0.35">
      <c r="A7" t="s">
        <v>8</v>
      </c>
      <c r="B7" t="s">
        <v>5</v>
      </c>
      <c r="C7" s="2">
        <v>60</v>
      </c>
    </row>
    <row r="8" spans="1:3" x14ac:dyDescent="0.35">
      <c r="A8" t="s">
        <v>12</v>
      </c>
      <c r="C8" s="2">
        <v>60</v>
      </c>
    </row>
    <row r="9" spans="1:3" x14ac:dyDescent="0.35">
      <c r="A9" t="s">
        <v>7</v>
      </c>
      <c r="B9" t="s">
        <v>4</v>
      </c>
      <c r="C9" s="2">
        <v>40</v>
      </c>
    </row>
    <row r="10" spans="1:3" x14ac:dyDescent="0.35">
      <c r="A10" t="s">
        <v>13</v>
      </c>
      <c r="C10" s="2">
        <v>40</v>
      </c>
    </row>
    <row r="11" spans="1:3" x14ac:dyDescent="0.35">
      <c r="A11" t="s">
        <v>9</v>
      </c>
      <c r="C11" s="2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9D819-3CCE-45FD-901A-F9FFCC07F2AB}">
  <dimension ref="A1:C10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10</v>
      </c>
    </row>
    <row r="3" spans="1:3" x14ac:dyDescent="0.35">
      <c r="A3" t="s">
        <v>3</v>
      </c>
      <c r="B3" t="s">
        <v>5</v>
      </c>
      <c r="C3">
        <v>50</v>
      </c>
    </row>
    <row r="4" spans="1:3" x14ac:dyDescent="0.35">
      <c r="A4" t="s">
        <v>3</v>
      </c>
      <c r="B4" t="s">
        <v>6</v>
      </c>
      <c r="C4">
        <v>-20</v>
      </c>
    </row>
    <row r="5" spans="1:3" x14ac:dyDescent="0.35">
      <c r="A5" t="s">
        <v>7</v>
      </c>
      <c r="B5" t="s">
        <v>4</v>
      </c>
      <c r="C5">
        <v>40</v>
      </c>
    </row>
    <row r="6" spans="1:3" x14ac:dyDescent="0.35">
      <c r="A6" t="s">
        <v>7</v>
      </c>
      <c r="B6" t="s">
        <v>5</v>
      </c>
      <c r="C6">
        <v>20</v>
      </c>
    </row>
    <row r="7" spans="1:3" x14ac:dyDescent="0.35">
      <c r="A7" t="s">
        <v>7</v>
      </c>
      <c r="B7" t="s">
        <v>6</v>
      </c>
      <c r="C7">
        <v>0</v>
      </c>
    </row>
    <row r="8" spans="1:3" x14ac:dyDescent="0.35">
      <c r="A8" t="s">
        <v>8</v>
      </c>
      <c r="B8" t="s">
        <v>4</v>
      </c>
      <c r="C8">
        <v>5</v>
      </c>
    </row>
    <row r="9" spans="1:3" x14ac:dyDescent="0.35">
      <c r="A9" t="s">
        <v>8</v>
      </c>
      <c r="B9" t="s">
        <v>5</v>
      </c>
      <c r="C9">
        <v>60</v>
      </c>
    </row>
    <row r="10" spans="1:3" x14ac:dyDescent="0.35">
      <c r="A10" t="s">
        <v>8</v>
      </c>
      <c r="B10" t="s">
        <v>6</v>
      </c>
      <c r="C10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2026-09-28T21:31:12Z</dcterms:created>
  <dcterms:modified xsi:type="dcterms:W3CDTF">2026-09-28T21:31:13Z</dcterms:modified>
</cp:coreProperties>
</file>