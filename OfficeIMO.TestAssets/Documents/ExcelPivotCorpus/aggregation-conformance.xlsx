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"/>
    </mc:Choice>
  </mc:AlternateContent>
  <xr:revisionPtr revIDLastSave="0" documentId="8_{029A2B9A-DE23-4A58-84FC-0EA9E2AEE02B}" xr6:coauthVersionLast="47" xr6:coauthVersionMax="47" xr10:uidLastSave="{00000000-0000-0000-0000-000000000000}"/>
  <bookViews>
    <workbookView xWindow="-110" yWindow="-110" windowWidth="38620" windowHeight="21100" xr2:uid="{B6A831D1-D89B-4ABF-892C-2FD4021EB0A5}"/>
  </bookViews>
  <sheets>
    <sheet name="LookupEdges" sheetId="23" r:id="rId1"/>
    <sheet name="ErrorNumbers" sheetId="22" r:id="rId2"/>
    <sheet name="ErrorCount" sheetId="21" r:id="rId3"/>
    <sheet name="Keys" sheetId="20" r:id="rId4"/>
    <sheet name="KeySource" sheetId="19" r:id="rId5"/>
    <sheet name="Scalar" sheetId="18" r:id="rId6"/>
    <sheet name="ColumnsOnly" sheetId="17" r:id="rId7"/>
    <sheet name="RowsOnly" sheetId="16" r:id="rId8"/>
    <sheet name="ErrorGroups" sheetId="15" r:id="rId9"/>
    <sheet name="ErrorSource" sheetId="14" r:id="rId10"/>
    <sheet name="VarianceP" sheetId="13" r:id="rId11"/>
    <sheet name="Variance" sheetId="12" r:id="rId12"/>
    <sheet name="StandardDeviationP" sheetId="11" r:id="rId13"/>
    <sheet name="StandardDeviation" sheetId="10" r:id="rId14"/>
    <sheet name="Product" sheetId="9" r:id="rId15"/>
    <sheet name="Maximum" sheetId="8" r:id="rId16"/>
    <sheet name="Minimum" sheetId="7" r:id="rId17"/>
    <sheet name="Average" sheetId="6" r:id="rId18"/>
    <sheet name="CountNumbers" sheetId="5" r:id="rId19"/>
    <sheet name="Count" sheetId="4" r:id="rId20"/>
    <sheet name="Sum" sheetId="3" r:id="rId21"/>
    <sheet name="Lookups" sheetId="2" r:id="rId22"/>
    <sheet name="Source" sheetId="1" r:id="rId23"/>
  </sheets>
  <calcPr calcId="191029"/>
  <pivotCaches>
    <pivotCache cacheId="9" r:id="rId24"/>
    <pivotCache cacheId="19" r:id="rId25"/>
    <pivotCache cacheId="29" r:id="rId26"/>
    <pivotCache cacheId="39" r:id="rId27"/>
    <pivotCache cacheId="49" r:id="rId28"/>
    <pivotCache cacheId="59" r:id="rId29"/>
    <pivotCache cacheId="69" r:id="rId30"/>
    <pivotCache cacheId="79" r:id="rId31"/>
    <pivotCache cacheId="89" r:id="rId32"/>
    <pivotCache cacheId="99" r:id="rId33"/>
    <pivotCache cacheId="109" r:id="rId34"/>
    <pivotCache cacheId="117" r:id="rId35"/>
    <pivotCache cacheId="125" r:id="rId36"/>
    <pivotCache cacheId="133" r:id="rId37"/>
    <pivotCache cacheId="139" r:id="rId38"/>
    <pivotCache cacheId="147" r:id="rId39"/>
    <pivotCache cacheId="155" r:id="rId40"/>
    <pivotCache cacheId="163" r:id="rId4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2" i="23" l="1"/>
  <c r="B8" i="14"/>
  <c r="B7" i="14"/>
  <c r="B4" i="14"/>
  <c r="B2" i="14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A1" i="23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</calcChain>
</file>

<file path=xl/sharedStrings.xml><?xml version="1.0" encoding="utf-8"?>
<sst xmlns="http://schemas.openxmlformats.org/spreadsheetml/2006/main" count="370" uniqueCount="48">
  <si>
    <t>Region</t>
  </si>
  <si>
    <t>Product</t>
  </si>
  <si>
    <t>Amount</t>
  </si>
  <si>
    <t>Units</t>
  </si>
  <si>
    <t>North</t>
  </si>
  <si>
    <t>A</t>
  </si>
  <si>
    <t>B</t>
  </si>
  <si>
    <t>South</t>
  </si>
  <si>
    <t>West</t>
  </si>
  <si>
    <t>pending</t>
  </si>
  <si>
    <t>Row Labels</t>
  </si>
  <si>
    <t>Grand Total</t>
  </si>
  <si>
    <t>Column Labels</t>
  </si>
  <si>
    <t>Metric</t>
  </si>
  <si>
    <t>Sum</t>
  </si>
  <si>
    <t>Count</t>
  </si>
  <si>
    <t>CountNumbers</t>
  </si>
  <si>
    <t>Average</t>
  </si>
  <si>
    <t>Minimum</t>
  </si>
  <si>
    <t>Maximum</t>
  </si>
  <si>
    <t>StandardDeviation</t>
  </si>
  <si>
    <t>StandardDeviationP</t>
  </si>
  <si>
    <t>Variance</t>
  </si>
  <si>
    <t>VarianceP</t>
  </si>
  <si>
    <t>Group</t>
  </si>
  <si>
    <t>Error</t>
  </si>
  <si>
    <t>Literal</t>
  </si>
  <si>
    <t>Empty</t>
  </si>
  <si>
    <t>Single</t>
  </si>
  <si>
    <t>Boolean</t>
  </si>
  <si>
    <t>TextNumber</t>
  </si>
  <si>
    <t>Error Sum</t>
  </si>
  <si>
    <t>Error Count</t>
  </si>
  <si>
    <t>Error CountNumbers</t>
  </si>
  <si>
    <t>Error Average</t>
  </si>
  <si>
    <t>Error Minimum</t>
  </si>
  <si>
    <t>Error Maximum</t>
  </si>
  <si>
    <t>Error Product</t>
  </si>
  <si>
    <t>Error StandardDeviation</t>
  </si>
  <si>
    <t>Error StandardDeviationP</t>
  </si>
  <si>
    <t>Error Variance</t>
  </si>
  <si>
    <t>Error VarianceP</t>
  </si>
  <si>
    <t>Key</t>
  </si>
  <si>
    <t>1</t>
  </si>
  <si>
    <t>TRUE</t>
  </si>
  <si>
    <t xml:space="preserve"> North </t>
  </si>
  <si>
    <t xml:space="preserve"> north 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</si>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</sst>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openxmlformats.org/officeDocument/2006/relationships/pivotCacheDefinition" Target="pivotCache/pivotCacheDefinition16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11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pivotCacheDefinition" Target="pivotCache/pivotCacheDefinition9.xml"/><Relationship Id="rId37" Type="http://schemas.openxmlformats.org/officeDocument/2006/relationships/pivotCacheDefinition" Target="pivotCache/pivotCacheDefinition14.xml"/><Relationship Id="rId40" Type="http://schemas.openxmlformats.org/officeDocument/2006/relationships/pivotCacheDefinition" Target="pivotCache/pivotCacheDefinition17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openxmlformats.org/officeDocument/2006/relationships/pivotCacheDefinition" Target="pivotCache/pivotCacheDefinition1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8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pivotCacheDefinition" Target="pivotCache/pivotCacheDefinition7.xml"/><Relationship Id="rId35" Type="http://schemas.openxmlformats.org/officeDocument/2006/relationships/pivotCacheDefinition" Target="pivotCache/pivotCacheDefinition12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pivotCacheDefinition" Target="pivotCache/pivotCacheDefinition10.xml"/><Relationship Id="rId38" Type="http://schemas.openxmlformats.org/officeDocument/2006/relationships/pivotCacheDefinition" Target="pivotCache/pivotCacheDefinition15.xml"/><Relationship Id="rId20" Type="http://schemas.openxmlformats.org/officeDocument/2006/relationships/worksheet" Target="worksheets/sheet20.xml"/><Relationship Id="rId41" Type="http://schemas.openxmlformats.org/officeDocument/2006/relationships/pivotCacheDefinition" Target="pivotCache/pivotCacheDefinition18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584606484" createdVersion="6" refreshedVersion="8" minRefreshableVersion="3" recordCount="8" xr:uid="{BB3F26A6-0289-4759-BBC3-4DAFD2AC601B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586226854" createdVersion="6" refreshedVersion="8" minRefreshableVersion="3" recordCount="8" xr:uid="{944243EC-7987-426C-BFB7-7E0C2E6033AC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587500002" createdVersion="6" refreshedVersion="8" minRefreshableVersion="3" recordCount="8" xr:uid="{860DA2AA-6DC9-4D7E-B0D4-8C3E71204D11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58865741" createdVersion="6" refreshedVersion="8" minRefreshableVersion="3" recordCount="8" xr:uid="{1E45C317-9859-4255-8162-BF5D5513D43E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590162034" createdVersion="6" refreshedVersion="8" minRefreshableVersion="3" recordCount="8" xr:uid="{1277745F-D840-4720-ACEE-55DC4C7FE492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591435189" createdVersion="6" refreshedVersion="8" minRefreshableVersion="3" recordCount="8" xr:uid="{DFCD5C00-87B3-459C-AA7F-4B4951A86E82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592824074" createdVersion="6" refreshedVersion="8" minRefreshableVersion="3" recordCount="8" xr:uid="{3CF9C00A-29EA-4B33-B2E8-952847B56571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594097221" createdVersion="6" refreshedVersion="8" minRefreshableVersion="3" recordCount="8" xr:uid="{BA444D6D-A003-478F-9DB5-255E63FEE4BD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595370369" createdVersion="6" refreshedVersion="8" minRefreshableVersion="3" recordCount="8" xr:uid="{56A45341-3A55-49EB-BB7E-207441E51E58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596875" createdVersion="6" refreshedVersion="8" minRefreshableVersion="3" recordCount="8" xr:uid="{2FFA7601-6FCB-45D9-814E-53207CEDD293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598148147" createdVersion="6" refreshedVersion="8" minRefreshableVersion="3" recordCount="8" xr:uid="{4AE34E63-1A6F-497A-B635-3D17588254E8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606481483" createdVersion="6" refreshedVersion="8" minRefreshableVersion="3" recordCount="7" xr:uid="{F45278CC-6785-483A-9E33-1436F8631C1A}">
  <cacheSource type="worksheet">
    <worksheetSource ref="A1:B8" sheet="ErrorSource"/>
  </cacheSource>
  <cacheFields count="2">
    <cacheField name="Group" numFmtId="0">
      <sharedItems count="6">
        <s v="Error"/>
        <s v="Literal"/>
        <s v="Empty"/>
        <s v="Single"/>
        <s v="Boolean"/>
        <s v="TextNumber"/>
      </sharedItems>
    </cacheField>
    <cacheField name="Amount" numFmtId="0">
      <sharedItems containsBlank="1" containsMixedTypes="1" containsNumber="1" containsInteger="1" minValue="3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606944445" createdVersion="6" refreshedVersion="8" minRefreshableVersion="3" recordCount="8" xr:uid="{2A7E38E6-EA58-475C-8E7A-DA36DCC0A6B0}">
  <cacheSource type="worksheet">
    <worksheetSource ref="A1:D9" sheet="Source"/>
  </cacheSource>
  <cacheFields count="4">
    <cacheField name="Region" numFmtId="0">
      <sharedItems count="3">
        <s v="North"/>
        <s v="South"/>
        <s v="West"/>
      </sharedItems>
    </cacheField>
    <cacheField name="Product" numFmtId="0">
      <sharedItems/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607175923" createdVersion="6" refreshedVersion="8" minRefreshableVersion="3" recordCount="8" xr:uid="{75BFE042-F91A-4E00-BAA7-1BF46D9F8D10}">
  <cacheSource type="worksheet">
    <worksheetSource ref="A1:D9" sheet="Source"/>
  </cacheSource>
  <cacheFields count="4">
    <cacheField name="Region" numFmtId="0">
      <sharedItems/>
    </cacheField>
    <cacheField name="Product" numFmtId="0">
      <sharedItems count="2">
        <s v="A"/>
        <s v="B"/>
      </sharedItems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607407407" createdVersion="6" refreshedVersion="8" minRefreshableVersion="3" recordCount="8" xr:uid="{EF63A92D-D35C-4B83-BB09-5EEFC88588F1}">
  <cacheSource type="worksheet">
    <worksheetSource ref="A1:D9" sheet="Source"/>
  </cacheSource>
  <cacheFields count="4">
    <cacheField name="Region" numFmtId="0">
      <sharedItems/>
    </cacheField>
    <cacheField name="Product" numFmtId="0">
      <sharedItems/>
    </cacheField>
    <cacheField name="Amount" numFmtId="0">
      <sharedItems containsBlank="1" containsMixedTypes="1" containsNumber="1" containsInteger="1" minValue="-2" maxValue="20"/>
    </cacheField>
    <cacheField name="Units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608796293" createdVersion="6" refreshedVersion="8" minRefreshableVersion="3" recordCount="8" xr:uid="{D64ECEEF-1079-456A-B654-401DD1B79D45}">
  <cacheSource type="worksheet">
    <worksheetSource ref="A1:B9" sheet="KeySource"/>
  </cacheSource>
  <cacheFields count="2">
    <cacheField name="Key" numFmtId="0">
      <sharedItems containsBlank="1" containsMixedTypes="1" containsNumber="1" containsInteger="1" minValue="1" maxValue="1" count="7">
        <n v="1"/>
        <s v="1"/>
        <b v="1"/>
        <s v="TRUE"/>
        <s v=" North "/>
        <s v="North"/>
        <m/>
      </sharedItems>
    </cacheField>
    <cacheField name="Amount" numFmtId="0">
      <sharedItems containsSemiMixedTypes="0" containsString="0" containsNumber="1" containsInteger="1" minValue="2" maxValue="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609259262" createdVersion="6" refreshedVersion="8" minRefreshableVersion="3" recordCount="7" xr:uid="{325431CE-462C-4F8B-8EE4-098C7CCA4EA7}">
  <cacheSource type="worksheet">
    <worksheetSource ref="A1:B8" sheet="ErrorSource"/>
  </cacheSource>
  <cacheFields count="2">
    <cacheField name="Group" numFmtId="0">
      <sharedItems count="6">
        <s v="Error"/>
        <s v="Literal"/>
        <s v="Empty"/>
        <s v="Single"/>
        <s v="Boolean"/>
        <s v="TextNumber"/>
      </sharedItems>
    </cacheField>
    <cacheField name="Amount" numFmtId="0">
      <sharedItems containsBlank="1" containsMixedTypes="1" containsNumber="1" containsInteger="1" minValue="3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2.692609606478" createdVersion="6" refreshedVersion="8" minRefreshableVersion="3" recordCount="7" xr:uid="{A25B856F-11A5-472B-A076-6B937ED34B35}">
  <cacheSource type="worksheet">
    <worksheetSource ref="A1:B8" sheet="ErrorSource"/>
  </cacheSource>
  <cacheFields count="2">
    <cacheField name="Group" numFmtId="0">
      <sharedItems count="6">
        <s v="Error"/>
        <s v="Literal"/>
        <s v="Empty"/>
        <s v="Single"/>
        <s v="Boolean"/>
        <s v="TextNumber"/>
      </sharedItems>
    </cacheField>
    <cacheField name="Amount" numFmtId="0">
      <sharedItems containsBlank="1" containsMixedTypes="1" containsNumber="1" containsInteger="1" minValue="3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0"/>
    <n v="2"/>
  </r>
  <r>
    <x v="0"/>
    <x v="1"/>
    <n v="20"/>
    <n v="3"/>
  </r>
  <r>
    <x v="1"/>
    <x v="0"/>
    <n v="5"/>
    <n v="1"/>
  </r>
  <r>
    <x v="1"/>
    <x v="1"/>
    <n v="15"/>
    <n v="4"/>
  </r>
  <r>
    <x v="0"/>
    <x v="0"/>
    <n v="-2"/>
    <n v="1"/>
  </r>
  <r>
    <x v="2"/>
    <x v="1"/>
    <m/>
    <n v="5"/>
  </r>
  <r>
    <x v="1"/>
    <x v="0"/>
    <s v="pending"/>
    <n v="2"/>
  </r>
  <r>
    <x v="0"/>
    <x v="1"/>
    <b v="1"/>
    <n v="1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0"/>
    <n v="3"/>
  </r>
  <r>
    <x v="1"/>
    <s v="#N/A"/>
  </r>
  <r>
    <x v="2"/>
    <m/>
  </r>
  <r>
    <x v="3"/>
    <n v="5"/>
  </r>
  <r>
    <x v="4"/>
    <b v="1"/>
  </r>
  <r>
    <x v="5"/>
    <s v="12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s v="A"/>
    <n v="10"/>
    <n v="2"/>
  </r>
  <r>
    <x v="0"/>
    <s v="B"/>
    <n v="20"/>
    <n v="3"/>
  </r>
  <r>
    <x v="1"/>
    <s v="A"/>
    <n v="5"/>
    <n v="1"/>
  </r>
  <r>
    <x v="1"/>
    <s v="B"/>
    <n v="15"/>
    <n v="4"/>
  </r>
  <r>
    <x v="0"/>
    <s v="A"/>
    <n v="-2"/>
    <n v="1"/>
  </r>
  <r>
    <x v="2"/>
    <s v="B"/>
    <m/>
    <n v="5"/>
  </r>
  <r>
    <x v="1"/>
    <s v="A"/>
    <s v="pending"/>
    <n v="2"/>
  </r>
  <r>
    <x v="0"/>
    <s v="B"/>
    <b v="1"/>
    <n v="1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s v="North"/>
    <x v="0"/>
    <n v="10"/>
    <n v="2"/>
  </r>
  <r>
    <s v="North"/>
    <x v="1"/>
    <n v="20"/>
    <n v="3"/>
  </r>
  <r>
    <s v="South"/>
    <x v="0"/>
    <n v="5"/>
    <n v="1"/>
  </r>
  <r>
    <s v="South"/>
    <x v="1"/>
    <n v="15"/>
    <n v="4"/>
  </r>
  <r>
    <s v="North"/>
    <x v="0"/>
    <n v="-2"/>
    <n v="1"/>
  </r>
  <r>
    <s v="West"/>
    <x v="1"/>
    <m/>
    <n v="5"/>
  </r>
  <r>
    <s v="South"/>
    <x v="0"/>
    <s v="pending"/>
    <n v="2"/>
  </r>
  <r>
    <s v="North"/>
    <x v="1"/>
    <b v="1"/>
    <n v="1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s v="North"/>
    <s v="A"/>
    <n v="10"/>
    <n v="2"/>
  </r>
  <r>
    <s v="North"/>
    <s v="B"/>
    <n v="20"/>
    <n v="3"/>
  </r>
  <r>
    <s v="South"/>
    <s v="A"/>
    <n v="5"/>
    <n v="1"/>
  </r>
  <r>
    <s v="South"/>
    <s v="B"/>
    <n v="15"/>
    <n v="4"/>
  </r>
  <r>
    <s v="North"/>
    <s v="A"/>
    <n v="-2"/>
    <n v="1"/>
  </r>
  <r>
    <s v="West"/>
    <s v="B"/>
    <m/>
    <n v="5"/>
  </r>
  <r>
    <s v="South"/>
    <s v="A"/>
    <s v="pending"/>
    <n v="2"/>
  </r>
  <r>
    <s v="North"/>
    <s v="B"/>
    <b v="1"/>
    <n v="1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"/>
  </r>
  <r>
    <x v="1"/>
    <n v="3"/>
  </r>
  <r>
    <x v="2"/>
    <n v="5"/>
  </r>
  <r>
    <x v="3"/>
    <n v="7"/>
  </r>
  <r>
    <x v="4"/>
    <n v="11"/>
  </r>
  <r>
    <x v="5"/>
    <n v="13"/>
  </r>
  <r>
    <x v="4"/>
    <n v="17"/>
  </r>
  <r>
    <x v="6"/>
    <n v="19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0"/>
    <n v="3"/>
  </r>
  <r>
    <x v="1"/>
    <s v="#N/A"/>
  </r>
  <r>
    <x v="2"/>
    <m/>
  </r>
  <r>
    <x v="3"/>
    <n v="5"/>
  </r>
  <r>
    <x v="4"/>
    <b v="1"/>
  </r>
  <r>
    <x v="5"/>
    <s v="12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0"/>
    <n v="3"/>
  </r>
  <r>
    <x v="1"/>
    <s v="#N/A"/>
  </r>
  <r>
    <x v="2"/>
    <m/>
  </r>
  <r>
    <x v="3"/>
    <n v="5"/>
  </r>
  <r>
    <x v="4"/>
    <b v="1"/>
  </r>
  <r>
    <x v="5"/>
    <s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DE75AD-CBD0-46C7-B208-11909C4C4F7C}" name="PivotErrorNumbers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B8" firstHeaderRow="1" firstDataRow="1" firstDataCol="1"/>
  <pivotFields count="2">
    <pivotField axis="axisRow" compact="0" outline="0" showAll="0">
      <items count="7">
        <item x="4"/>
        <item x="2"/>
        <item x="0"/>
        <item x="1"/>
        <item x="3"/>
        <item x="5"/>
        <item t="default"/>
      </items>
    </pivotField>
    <pivotField dataField="1" compact="0" outline="0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Metric" fld="1" subtotal="countNums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E49A46-7BC5-4811-BE5D-A5A7203333F5}" name="PivotErrorCount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B8" firstHeaderRow="1" firstDataRow="1" firstDataCol="1"/>
  <pivotFields count="2">
    <pivotField axis="axisRow" compact="0" outline="0" showAll="0">
      <items count="7">
        <item x="4"/>
        <item x="2"/>
        <item x="0"/>
        <item x="1"/>
        <item x="3"/>
        <item x="5"/>
        <item t="default"/>
      </items>
    </pivotField>
    <pivotField dataField="1" compact="0" outline="0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Metric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62957D-0947-4311-8D1C-783162C5FABD}" name="PivotKeys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B9" firstHeaderRow="1" firstDataRow="1" firstDataCol="1"/>
  <pivotFields count="2">
    <pivotField axis="axisRow" compact="0" outline="0" showAll="0">
      <items count="8">
        <item x="0"/>
        <item x="4"/>
        <item x="1"/>
        <item x="5"/>
        <item x="3"/>
        <item x="2"/>
        <item x="6"/>
        <item t="default"/>
      </items>
    </pivotField>
    <pivotField dataField="1" compact="0" outline="0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499C7-58CC-4D8E-B412-B031C99BCC2C}" name="PivotScalar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1:A2" firstHeaderRow="1" firstDataRow="1" firstDataCol="0"/>
  <pivotFields count="4">
    <pivotField showAll="0"/>
    <pivotField showAll="0"/>
    <pivotField dataField="1" showAll="0"/>
    <pivotField showAll="0"/>
  </pivotFields>
  <rowItems count="1">
    <i/>
  </rowItems>
  <colItems count="1">
    <i/>
  </colItems>
  <dataFields count="1">
    <dataField name="Metric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9A8BCB-29A0-4139-9C23-D2CC98AF08AB}" name="PivotColumnsOnly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1:D3" firstHeaderRow="1" firstDataRow="2" firstDataCol="1"/>
  <pivotFields count="4">
    <pivotField showAll="0"/>
    <pivotField axis="axisCol" showAll="0">
      <items count="3">
        <item x="0"/>
        <item x="1"/>
        <item t="default"/>
      </items>
    </pivotField>
    <pivotField dataField="1" showAll="0"/>
    <pivotField showAll="0"/>
  </pivotFields>
  <rowItems count="1">
    <i/>
  </rowItems>
  <colFields count="1">
    <field x="1"/>
  </colFields>
  <colItems count="3">
    <i>
      <x/>
    </i>
    <i>
      <x v="1"/>
    </i>
    <i t="grand">
      <x/>
    </i>
  </colItems>
  <dataFields count="1">
    <dataField name="Metric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D2C4D5-53E1-46B2-92CE-CB426E89C664}" name="PivotRowsOnly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B5" firstHeaderRow="1" firstDataRow="1" firstDataCol="1"/>
  <pivotFields count="4">
    <pivotField axis="axisRow" compact="0" outline="0" showAll="0" sumSubtotal="1" countASubtotal="1" avgSubtotal="1" maxSubtotal="1" minSubtotal="1" productSubtotal="1" countSubtotal="1" stdDevSubtotal="1" stdDevPSubtotal="1" varSubtotal="1" varPSubtotal="1">
      <items count="14">
        <item x="0"/>
        <item x="1"/>
        <item x="2"/>
        <item t="sum"/>
        <item t="countA"/>
        <item t="avg"/>
        <item t="max"/>
        <item t="min"/>
        <item t="product"/>
        <item t="count"/>
        <item t="stdDev"/>
        <item t="stdDevP"/>
        <item t="var"/>
        <item t="varP"/>
      </items>
    </pivotField>
    <pivotField compact="0" outline="0" showAll="0"/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etric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AEAE54-B037-4CFD-B355-0373EA47D7AF}" name="PivotErrorGroups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1:L8" firstHeaderRow="0" firstDataRow="1" firstDataCol="1"/>
  <pivotFields count="2">
    <pivotField axis="axisRow" showAll="0">
      <items count="7">
        <item x="4"/>
        <item x="2"/>
        <item x="0"/>
        <item x="1"/>
        <item x="3"/>
        <item x="5"/>
        <item t="default"/>
      </items>
    </pivotField>
    <pivotField dataField="1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Sum" fld="1" baseField="0" baseItem="0"/>
    <dataField name="Count" fld="1" subtotal="count" baseField="0" baseItem="0"/>
    <dataField name="CountNumbers" fld="1" subtotal="countNums" baseField="0" baseItem="0"/>
    <dataField name="Average" fld="1" subtotal="average" baseField="0" baseItem="0"/>
    <dataField name="Minimum" fld="1" subtotal="min" baseField="0" baseItem="0"/>
    <dataField name="Maximum" fld="1" subtotal="max" baseField="0" baseItem="0"/>
    <dataField name="Product" fld="1" subtotal="product" baseField="0" baseItem="0"/>
    <dataField name="StandardDeviation" fld="1" subtotal="stdDev" baseField="0" baseItem="0"/>
    <dataField name="StandardDeviationP" fld="1" subtotal="stdDevp" baseField="0" baseItem="0"/>
    <dataField name="Variance" fld="1" subtotal="var" baseField="0" baseItem="0"/>
    <dataField name="VarianceP" fld="1" subtotal="varp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7601E8-2A8C-4F27-A5F2-3F9A0E78216C}" name="PivotVarianceP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varp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8A50F5-D1A2-484D-B705-B1F832FC7759}" name="PivotVariance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var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3A3D2B-DD09-48E9-8CCF-F1A739726122}" name="PivotStandardDeviationP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stdDevp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51B36C-A19D-45B0-A46E-73F308AFDBB2}" name="PivotStandardDeviation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stdDev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9D4374-0F02-4F58-A759-3624E8DB4B7B}" name="PivotProduct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produc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FD9FD8-5219-4360-82FA-796607D06430}" name="PivotMaximum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5B16D-4FD0-4DA6-A2CA-CEAFA35CB6D7}" name="PivotMinimum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min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605D7C-0AD5-44D0-B26D-593EB8C8C63B}" name="PivotAverage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3F3D69-0284-4CB2-B657-838BEE00E23E}" name="PivotCountNumbers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countNums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9275AB-FF84-4D09-BEE1-CA8E011FD791}" name="PivotCount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09B9DE-EC6A-4F0B-AFC7-188FD4719EAA}" name="PivotSum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1:D6" firstHeaderRow="1" firstDataRow="2" firstDataCol="1"/>
  <pivotFields count="4">
    <pivotField axis="axisRow" compact="0" outline="0" showAll="0" defaultSubtotal="0">
      <items count="3">
        <item x="0"/>
        <item x="1"/>
        <item x="2"/>
      </items>
    </pivotField>
    <pivotField axis="axisCol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Metric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AFAC3-54DA-47C0-B64C-07AE193A9D80}">
  <dimension ref="A1:A35"/>
  <sheetViews>
    <sheetView tabSelected="1" workbookViewId="0"/>
  </sheetViews>
  <sheetFormatPr defaultRowHeight="14.5" x14ac:dyDescent="0.35"/>
  <sheetData>
    <row r="1" spans="1:1" x14ac:dyDescent="0.35">
      <c r="A1">
        <f>GETPIVOTDATA("Metric",Sum!A1,"Region","West","Product","A")</f>
        <v>0</v>
      </c>
    </row>
    <row r="2" spans="1:1" x14ac:dyDescent="0.35">
      <c r="A2">
        <f>GETPIVOTDATA("Amount",Sum!A1)</f>
        <v>48</v>
      </c>
    </row>
    <row r="3" spans="1:1" x14ac:dyDescent="0.35">
      <c r="A3" t="e">
        <f>GETPIVOTDATA("Count",ErrorGroups!A1)</f>
        <v>#N/A</v>
      </c>
    </row>
    <row r="4" spans="1:1" x14ac:dyDescent="0.35">
      <c r="A4" t="e">
        <f>GETPIVOTDATA("CountNumbers",ErrorGroups!A1)</f>
        <v>#N/A</v>
      </c>
    </row>
    <row r="5" spans="1:1" x14ac:dyDescent="0.35">
      <c r="A5">
        <f>GETPIVOTDATA("Metric",Sum!B4,"Region","North")</f>
        <v>28</v>
      </c>
    </row>
    <row r="6" spans="1:1" x14ac:dyDescent="0.35">
      <c r="A6">
        <f>GETPIVOTDATA("Metric",Sum!A1:D6,"Product","A")</f>
        <v>13</v>
      </c>
    </row>
    <row r="7" spans="1:1" x14ac:dyDescent="0.35">
      <c r="A7" t="e">
        <f>GETPIVOTDATA("Metric",Sum!Z1)</f>
        <v>#REF!</v>
      </c>
    </row>
    <row r="8" spans="1:1" x14ac:dyDescent="0.35">
      <c r="A8">
        <f>GETPIVOTDATA("Metric",Sum!A1,"Region","North","Region","North")</f>
        <v>28</v>
      </c>
    </row>
    <row r="9" spans="1:1" x14ac:dyDescent="0.35">
      <c r="A9" t="e">
        <f>GETPIVOTDATA("Metric",Sum!A1,"Region","North","Region","South")</f>
        <v>#REF!</v>
      </c>
    </row>
    <row r="10" spans="1:1" x14ac:dyDescent="0.35">
      <c r="A10">
        <f>GETPIVOTDATA("Metric",Sum!A1,"Region","north")</f>
        <v>28</v>
      </c>
    </row>
    <row r="11" spans="1:1" x14ac:dyDescent="0.35">
      <c r="A11" t="e">
        <f>GETPIVOTDATA("Metric",Sum!A1,"notafield","A")</f>
        <v>#REF!</v>
      </c>
    </row>
    <row r="12" spans="1:1" x14ac:dyDescent="0.35">
      <c r="A12" t="e">
        <f>GETPIVOTDATA("missing",Sum!A1)</f>
        <v>#REF!</v>
      </c>
    </row>
    <row r="13" spans="1:1" x14ac:dyDescent="0.35">
      <c r="A13">
        <f>GETPIVOTDATA("Count",ErrorGroups!A1,"Group","TextNumber")</f>
        <v>1</v>
      </c>
    </row>
    <row r="14" spans="1:1" x14ac:dyDescent="0.35">
      <c r="A14">
        <f>IFERROR(GETPIVOTDATA("Metric",Sum!Z1),77)</f>
        <v>77</v>
      </c>
    </row>
    <row r="15" spans="1:1" x14ac:dyDescent="0.35">
      <c r="A15">
        <f>GETPIVOTDATA("Metric",Sum!A1,"Region",Source!A2)</f>
        <v>28</v>
      </c>
    </row>
    <row r="16" spans="1:1" x14ac:dyDescent="0.35">
      <c r="A16">
        <f>GETPIVOTDATA("Metric",Sum!A1,"Region","West")</f>
        <v>0</v>
      </c>
    </row>
    <row r="17" spans="1:1" x14ac:dyDescent="0.35">
      <c r="A17">
        <f>GETPIVOTDATA("Metric",Sum!A1,"Region","West","Product","B")</f>
        <v>0</v>
      </c>
    </row>
    <row r="18" spans="1:1" x14ac:dyDescent="0.35">
      <c r="A18">
        <f>GETPIVOTDATA("Metric",Sum!A1,"Product","a")</f>
        <v>13</v>
      </c>
    </row>
    <row r="19" spans="1:1" x14ac:dyDescent="0.35">
      <c r="A19">
        <f>GETPIVOTDATA("Count",ErrorGroups!A1,"Group","Literal")</f>
        <v>1</v>
      </c>
    </row>
    <row r="20" spans="1:1" x14ac:dyDescent="0.35">
      <c r="A20">
        <f>GETPIVOTDATA("CountNumbers",ErrorGroups!A1,"Group","Literal")</f>
        <v>0</v>
      </c>
    </row>
    <row r="21" spans="1:1" x14ac:dyDescent="0.35">
      <c r="A21" t="e">
        <f>GETPIVOTDATA("Metric",Sum!A1,"Product",1)</f>
        <v>#REF!</v>
      </c>
    </row>
    <row r="22" spans="1:1" x14ac:dyDescent="0.35">
      <c r="A22" t="b">
        <f>FALSE()</f>
        <v>0</v>
      </c>
    </row>
    <row r="23" spans="1:1" x14ac:dyDescent="0.35">
      <c r="A23">
        <f>GETPIVOTDATA("Metric",RowsOnly!A1,"Region","North")</f>
        <v>28</v>
      </c>
    </row>
    <row r="24" spans="1:1" x14ac:dyDescent="0.35">
      <c r="A24">
        <f>GETPIVOTDATA("Metric",ColumnsOnly!A1,"Product","B")</f>
        <v>35</v>
      </c>
    </row>
    <row r="25" spans="1:1" x14ac:dyDescent="0.35">
      <c r="A25">
        <f>GETPIVOTDATA("Metric",Scalar!A1)</f>
        <v>48</v>
      </c>
    </row>
    <row r="26" spans="1:1" x14ac:dyDescent="0.35">
      <c r="A26">
        <f>GETPIVOTDATA("Metric",Keys!A1,"Key",1)</f>
        <v>2</v>
      </c>
    </row>
    <row r="27" spans="1:1" x14ac:dyDescent="0.35">
      <c r="A27">
        <f>GETPIVOTDATA("Metric",Keys!A1,"Key","1")</f>
        <v>3</v>
      </c>
    </row>
    <row r="28" spans="1:1" x14ac:dyDescent="0.35">
      <c r="A28">
        <f>GETPIVOTDATA("Metric",Keys!A1,"Key",TRUE())</f>
        <v>5</v>
      </c>
    </row>
    <row r="29" spans="1:1" x14ac:dyDescent="0.35">
      <c r="A29">
        <f>GETPIVOTDATA("Metric",Keys!A1,"Key","TRUE")</f>
        <v>7</v>
      </c>
    </row>
    <row r="30" spans="1:1" x14ac:dyDescent="0.35">
      <c r="A30">
        <f>GETPIVOTDATA("Metric",Keys!A1,"Key"," North ")</f>
        <v>28</v>
      </c>
    </row>
    <row r="31" spans="1:1" x14ac:dyDescent="0.35">
      <c r="A31">
        <f>GETPIVOTDATA("Metric",Keys!A1,"Key","North")</f>
        <v>13</v>
      </c>
    </row>
    <row r="32" spans="1:1" x14ac:dyDescent="0.35">
      <c r="A32">
        <f>GETPIVOTDATA("Metric",Keys!A1,"Key"," north ")</f>
        <v>28</v>
      </c>
    </row>
    <row r="33" spans="1:1" x14ac:dyDescent="0.35">
      <c r="A33">
        <f>GETPIVOTDATA("Metric",Keys!A1,"Key","(blank)")</f>
        <v>19</v>
      </c>
    </row>
    <row r="34" spans="1:1" x14ac:dyDescent="0.35">
      <c r="A34">
        <f>GETPIVOTDATA("Metric",ErrorCount!A1)</f>
        <v>6</v>
      </c>
    </row>
    <row r="35" spans="1:1" x14ac:dyDescent="0.35">
      <c r="A35">
        <f>GETPIVOTDATA("Metric",ErrorNumbers!A1)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F5DFB-CCB6-4469-9367-D6D0034F4C50}">
  <dimension ref="A1:B8"/>
  <sheetViews>
    <sheetView workbookViewId="0"/>
  </sheetViews>
  <sheetFormatPr defaultRowHeight="14.5" x14ac:dyDescent="0.35"/>
  <cols>
    <col min="1" max="1" width="10.6328125" bestFit="1" customWidth="1"/>
    <col min="2" max="2" width="6.08984375" bestFit="1" customWidth="1"/>
  </cols>
  <sheetData>
    <row r="1" spans="1:2" x14ac:dyDescent="0.35">
      <c r="A1" s="1" t="s">
        <v>24</v>
      </c>
      <c r="B1" t="s">
        <v>13</v>
      </c>
    </row>
    <row r="2" spans="1:2" x14ac:dyDescent="0.35">
      <c r="A2" t="s">
        <v>29</v>
      </c>
      <c r="B2" s="3">
        <v>0</v>
      </c>
    </row>
    <row r="3" spans="1:2" x14ac:dyDescent="0.35">
      <c r="A3" t="s">
        <v>27</v>
      </c>
      <c r="B3" s="3"/>
    </row>
    <row r="4" spans="1:2" x14ac:dyDescent="0.35">
      <c r="A4" t="s">
        <v>25</v>
      </c>
      <c r="B4" s="3">
        <v>1</v>
      </c>
    </row>
    <row r="5" spans="1:2" x14ac:dyDescent="0.35">
      <c r="A5" t="s">
        <v>26</v>
      </c>
      <c r="B5" s="3">
        <v>0</v>
      </c>
    </row>
    <row r="6" spans="1:2" x14ac:dyDescent="0.35">
      <c r="A6" t="s">
        <v>28</v>
      </c>
      <c r="B6" s="3">
        <v>1</v>
      </c>
    </row>
    <row r="7" spans="1:2" x14ac:dyDescent="0.35">
      <c r="A7" t="s">
        <v>30</v>
      </c>
      <c r="B7" s="3">
        <v>0</v>
      </c>
    </row>
    <row r="8" spans="1:2" x14ac:dyDescent="0.35">
      <c r="A8" t="s">
        <v>11</v>
      </c>
      <c r="B8" s="3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4BE7A-7FEB-432D-9E3A-AE49C7F22EFE}">
  <dimension ref="A1:B8"/>
  <sheetViews>
    <sheetView workbookViewId="0"/>
  </sheetViews>
  <sheetFormatPr defaultRowHeight="14.5" x14ac:dyDescent="0.35"/>
  <cols>
    <col min="1" max="1" width="10.6328125" bestFit="1" customWidth="1"/>
    <col min="2" max="2" width="6.08984375" bestFit="1" customWidth="1"/>
  </cols>
  <sheetData>
    <row r="1" spans="1:2" x14ac:dyDescent="0.35">
      <c r="A1" s="1" t="s">
        <v>24</v>
      </c>
      <c r="B1" t="s">
        <v>13</v>
      </c>
    </row>
    <row r="2" spans="1:2" x14ac:dyDescent="0.35">
      <c r="A2" t="s">
        <v>29</v>
      </c>
      <c r="B2" s="3">
        <v>1</v>
      </c>
    </row>
    <row r="3" spans="1:2" x14ac:dyDescent="0.35">
      <c r="A3" t="s">
        <v>27</v>
      </c>
      <c r="B3" s="3"/>
    </row>
    <row r="4" spans="1:2" x14ac:dyDescent="0.35">
      <c r="A4" t="s">
        <v>25</v>
      </c>
      <c r="B4" s="3">
        <v>2</v>
      </c>
    </row>
    <row r="5" spans="1:2" x14ac:dyDescent="0.35">
      <c r="A5" t="s">
        <v>26</v>
      </c>
      <c r="B5" s="3">
        <v>1</v>
      </c>
    </row>
    <row r="6" spans="1:2" x14ac:dyDescent="0.35">
      <c r="A6" t="s">
        <v>28</v>
      </c>
      <c r="B6" s="3">
        <v>1</v>
      </c>
    </row>
    <row r="7" spans="1:2" x14ac:dyDescent="0.35">
      <c r="A7" t="s">
        <v>30</v>
      </c>
      <c r="B7" s="3">
        <v>1</v>
      </c>
    </row>
    <row r="8" spans="1:2" x14ac:dyDescent="0.35">
      <c r="A8" t="s">
        <v>11</v>
      </c>
      <c r="B8" s="3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7558A-4C72-4CCA-82F7-42A35F31EB75}">
  <dimension ref="A1:B9"/>
  <sheetViews>
    <sheetView workbookViewId="0"/>
  </sheetViews>
  <sheetFormatPr defaultRowHeight="14.5" x14ac:dyDescent="0.35"/>
  <cols>
    <col min="1" max="1" width="10.36328125" bestFit="1" customWidth="1"/>
    <col min="2" max="2" width="6.08984375" bestFit="1" customWidth="1"/>
  </cols>
  <sheetData>
    <row r="1" spans="1:2" x14ac:dyDescent="0.35">
      <c r="A1" s="1" t="s">
        <v>42</v>
      </c>
      <c r="B1" t="s">
        <v>13</v>
      </c>
    </row>
    <row r="2" spans="1:2" x14ac:dyDescent="0.35">
      <c r="A2">
        <v>1</v>
      </c>
      <c r="B2" s="3">
        <v>2</v>
      </c>
    </row>
    <row r="3" spans="1:2" x14ac:dyDescent="0.35">
      <c r="A3" t="s">
        <v>45</v>
      </c>
      <c r="B3" s="3">
        <v>28</v>
      </c>
    </row>
    <row r="4" spans="1:2" x14ac:dyDescent="0.35">
      <c r="A4" t="s">
        <v>43</v>
      </c>
      <c r="B4" s="3">
        <v>3</v>
      </c>
    </row>
    <row r="5" spans="1:2" x14ac:dyDescent="0.35">
      <c r="A5" t="s">
        <v>4</v>
      </c>
      <c r="B5" s="3">
        <v>13</v>
      </c>
    </row>
    <row r="6" spans="1:2" x14ac:dyDescent="0.35">
      <c r="A6" t="s">
        <v>44</v>
      </c>
      <c r="B6" s="3">
        <v>7</v>
      </c>
    </row>
    <row r="7" spans="1:2" x14ac:dyDescent="0.35">
      <c r="A7" t="s">
        <v>44</v>
      </c>
      <c r="B7" s="3">
        <v>5</v>
      </c>
    </row>
    <row r="8" spans="1:2" x14ac:dyDescent="0.35">
      <c r="A8" t="s">
        <v>47</v>
      </c>
      <c r="B8" s="3">
        <v>19</v>
      </c>
    </row>
    <row r="9" spans="1:2" x14ac:dyDescent="0.35">
      <c r="A9" t="s">
        <v>11</v>
      </c>
      <c r="B9" s="3">
        <v>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18899-6FC9-4FA5-AA11-C817244EF819}">
  <dimension ref="A1:B9"/>
  <sheetViews>
    <sheetView workbookViewId="0"/>
  </sheetViews>
  <sheetFormatPr defaultRowHeight="14.5" x14ac:dyDescent="0.35"/>
  <sheetData>
    <row r="1" spans="1:2" x14ac:dyDescent="0.35">
      <c r="A1" s="4" t="s">
        <v>42</v>
      </c>
      <c r="B1" s="4" t="s">
        <v>2</v>
      </c>
    </row>
    <row r="2" spans="1:2" x14ac:dyDescent="0.35">
      <c r="A2">
        <v>1</v>
      </c>
      <c r="B2">
        <v>2</v>
      </c>
    </row>
    <row r="3" spans="1:2" x14ac:dyDescent="0.35">
      <c r="A3" s="4" t="s">
        <v>43</v>
      </c>
      <c r="B3">
        <v>3</v>
      </c>
    </row>
    <row r="4" spans="1:2" x14ac:dyDescent="0.35">
      <c r="A4" t="b">
        <v>1</v>
      </c>
      <c r="B4">
        <v>5</v>
      </c>
    </row>
    <row r="5" spans="1:2" x14ac:dyDescent="0.35">
      <c r="A5" s="4" t="s">
        <v>44</v>
      </c>
      <c r="B5">
        <v>7</v>
      </c>
    </row>
    <row r="6" spans="1:2" x14ac:dyDescent="0.35">
      <c r="A6" s="4" t="s">
        <v>45</v>
      </c>
      <c r="B6">
        <v>11</v>
      </c>
    </row>
    <row r="7" spans="1:2" x14ac:dyDescent="0.35">
      <c r="A7" s="4" t="s">
        <v>4</v>
      </c>
      <c r="B7">
        <v>13</v>
      </c>
    </row>
    <row r="8" spans="1:2" x14ac:dyDescent="0.35">
      <c r="A8" s="4" t="s">
        <v>46</v>
      </c>
      <c r="B8">
        <v>17</v>
      </c>
    </row>
    <row r="9" spans="1:2" x14ac:dyDescent="0.35">
      <c r="B9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28A7-C9E0-41DE-840E-56651F909C24}">
  <dimension ref="A1:A2"/>
  <sheetViews>
    <sheetView workbookViewId="0"/>
  </sheetViews>
  <sheetFormatPr defaultRowHeight="14.5" x14ac:dyDescent="0.35"/>
  <cols>
    <col min="1" max="1" width="6.08984375" bestFit="1" customWidth="1"/>
  </cols>
  <sheetData>
    <row r="1" spans="1:1" x14ac:dyDescent="0.35">
      <c r="A1" t="s">
        <v>13</v>
      </c>
    </row>
    <row r="2" spans="1:1" x14ac:dyDescent="0.35">
      <c r="A2" s="3">
        <v>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6246F-45F7-4092-9111-6DBDA0490FF5}">
  <dimension ref="A1:D3"/>
  <sheetViews>
    <sheetView workbookViewId="0"/>
  </sheetViews>
  <sheetFormatPr defaultRowHeight="14.5" x14ac:dyDescent="0.35"/>
  <cols>
    <col min="1" max="1" width="6.08984375" bestFit="1" customWidth="1"/>
    <col min="2" max="2" width="15.6328125" bestFit="1" customWidth="1"/>
    <col min="3" max="3" width="2.81640625" bestFit="1" customWidth="1"/>
    <col min="4" max="4" width="10.36328125" bestFit="1" customWidth="1"/>
  </cols>
  <sheetData>
    <row r="1" spans="1:4" x14ac:dyDescent="0.35">
      <c r="B1" s="1" t="s">
        <v>12</v>
      </c>
    </row>
    <row r="2" spans="1:4" x14ac:dyDescent="0.35">
      <c r="B2" t="s">
        <v>5</v>
      </c>
      <c r="C2" t="s">
        <v>6</v>
      </c>
      <c r="D2" t="s">
        <v>11</v>
      </c>
    </row>
    <row r="3" spans="1:4" x14ac:dyDescent="0.35">
      <c r="A3" t="s">
        <v>13</v>
      </c>
      <c r="B3" s="3">
        <v>13</v>
      </c>
      <c r="C3" s="3">
        <v>35</v>
      </c>
      <c r="D3" s="3">
        <v>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7A9AD-F98A-41A8-B192-729109EEE1A5}">
  <dimension ref="A1:B5"/>
  <sheetViews>
    <sheetView workbookViewId="0"/>
  </sheetViews>
  <sheetFormatPr defaultRowHeight="14.5" x14ac:dyDescent="0.35"/>
  <cols>
    <col min="1" max="1" width="10.36328125" bestFit="1" customWidth="1"/>
    <col min="2" max="2" width="6.08984375" bestFit="1" customWidth="1"/>
  </cols>
  <sheetData>
    <row r="1" spans="1:2" x14ac:dyDescent="0.35">
      <c r="A1" s="1" t="s">
        <v>0</v>
      </c>
      <c r="B1" t="s">
        <v>13</v>
      </c>
    </row>
    <row r="2" spans="1:2" x14ac:dyDescent="0.35">
      <c r="A2" t="s">
        <v>4</v>
      </c>
      <c r="B2" s="3">
        <v>28</v>
      </c>
    </row>
    <row r="3" spans="1:2" x14ac:dyDescent="0.35">
      <c r="A3" t="s">
        <v>7</v>
      </c>
      <c r="B3" s="3">
        <v>20</v>
      </c>
    </row>
    <row r="4" spans="1:2" x14ac:dyDescent="0.35">
      <c r="A4" t="s">
        <v>8</v>
      </c>
      <c r="B4" s="3"/>
    </row>
    <row r="5" spans="1:2" x14ac:dyDescent="0.35">
      <c r="A5" t="s">
        <v>11</v>
      </c>
      <c r="B5" s="3">
        <v>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8C4CA-9E6D-4931-AD13-7C17F14EE7FC}">
  <dimension ref="A1:L8"/>
  <sheetViews>
    <sheetView workbookViewId="0"/>
  </sheetViews>
  <sheetFormatPr defaultRowHeight="14.5" x14ac:dyDescent="0.35"/>
  <cols>
    <col min="1" max="1" width="12.453125" bestFit="1" customWidth="1"/>
    <col min="2" max="2" width="4.90625" bestFit="1" customWidth="1"/>
    <col min="3" max="3" width="5.90625" bestFit="1" customWidth="1"/>
    <col min="4" max="4" width="13.6328125" bestFit="1" customWidth="1"/>
    <col min="5" max="5" width="7.36328125" bestFit="1" customWidth="1"/>
    <col min="6" max="6" width="8.81640625" bestFit="1" customWidth="1"/>
    <col min="7" max="7" width="9.08984375" bestFit="1" customWidth="1"/>
    <col min="8" max="8" width="7.36328125" bestFit="1" customWidth="1"/>
    <col min="9" max="9" width="16.54296875" bestFit="1" customWidth="1"/>
    <col min="10" max="10" width="17.7265625" bestFit="1" customWidth="1"/>
    <col min="11" max="11" width="8.1796875" bestFit="1" customWidth="1"/>
    <col min="12" max="12" width="9.26953125" bestFit="1" customWidth="1"/>
  </cols>
  <sheetData>
    <row r="1" spans="1:12" x14ac:dyDescent="0.35">
      <c r="A1" s="1" t="s">
        <v>10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1</v>
      </c>
      <c r="I1" t="s">
        <v>20</v>
      </c>
      <c r="J1" t="s">
        <v>21</v>
      </c>
      <c r="K1" t="s">
        <v>22</v>
      </c>
      <c r="L1" t="s">
        <v>23</v>
      </c>
    </row>
    <row r="2" spans="1:12" x14ac:dyDescent="0.35">
      <c r="A2" s="2" t="s">
        <v>29</v>
      </c>
      <c r="B2" s="3">
        <v>0</v>
      </c>
      <c r="C2" s="3">
        <v>1</v>
      </c>
      <c r="D2" s="3">
        <v>0</v>
      </c>
      <c r="E2" s="3" t="e">
        <v>#DIV/0!</v>
      </c>
      <c r="F2" s="3">
        <v>0</v>
      </c>
      <c r="G2" s="3">
        <v>0</v>
      </c>
      <c r="H2" s="3">
        <v>0</v>
      </c>
      <c r="I2" s="3" t="e">
        <v>#DIV/0!</v>
      </c>
      <c r="J2" s="3" t="e">
        <v>#DIV/0!</v>
      </c>
      <c r="K2" s="3" t="e">
        <v>#DIV/0!</v>
      </c>
      <c r="L2" s="3" t="e">
        <v>#DIV/0!</v>
      </c>
    </row>
    <row r="3" spans="1:12" x14ac:dyDescent="0.35">
      <c r="A3" s="2" t="s">
        <v>27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x14ac:dyDescent="0.35">
      <c r="A4" s="2" t="s">
        <v>25</v>
      </c>
      <c r="B4" s="3" t="e">
        <v>#N/A</v>
      </c>
      <c r="C4" s="3">
        <v>2</v>
      </c>
      <c r="D4" s="3">
        <v>1</v>
      </c>
      <c r="E4" s="3" t="e">
        <v>#N/A</v>
      </c>
      <c r="F4" s="3" t="e">
        <v>#N/A</v>
      </c>
      <c r="G4" s="3" t="e">
        <v>#N/A</v>
      </c>
      <c r="H4" s="3" t="e">
        <v>#N/A</v>
      </c>
      <c r="I4" s="3" t="e">
        <v>#N/A</v>
      </c>
      <c r="J4" s="3" t="e">
        <v>#N/A</v>
      </c>
      <c r="K4" s="3" t="e">
        <v>#N/A</v>
      </c>
      <c r="L4" s="3" t="e">
        <v>#N/A</v>
      </c>
    </row>
    <row r="5" spans="1:12" x14ac:dyDescent="0.35">
      <c r="A5" s="2" t="s">
        <v>26</v>
      </c>
      <c r="B5" s="3">
        <v>0</v>
      </c>
      <c r="C5" s="3">
        <v>1</v>
      </c>
      <c r="D5" s="3">
        <v>0</v>
      </c>
      <c r="E5" s="3" t="e">
        <v>#DIV/0!</v>
      </c>
      <c r="F5" s="3">
        <v>0</v>
      </c>
      <c r="G5" s="3">
        <v>0</v>
      </c>
      <c r="H5" s="3">
        <v>0</v>
      </c>
      <c r="I5" s="3" t="e">
        <v>#DIV/0!</v>
      </c>
      <c r="J5" s="3" t="e">
        <v>#DIV/0!</v>
      </c>
      <c r="K5" s="3" t="e">
        <v>#DIV/0!</v>
      </c>
      <c r="L5" s="3" t="e">
        <v>#DIV/0!</v>
      </c>
    </row>
    <row r="6" spans="1:12" x14ac:dyDescent="0.35">
      <c r="A6" s="2" t="s">
        <v>28</v>
      </c>
      <c r="B6" s="3">
        <v>5</v>
      </c>
      <c r="C6" s="3">
        <v>1</v>
      </c>
      <c r="D6" s="3">
        <v>1</v>
      </c>
      <c r="E6" s="3">
        <v>5</v>
      </c>
      <c r="F6" s="3">
        <v>5</v>
      </c>
      <c r="G6" s="3">
        <v>5</v>
      </c>
      <c r="H6" s="3">
        <v>5</v>
      </c>
      <c r="I6" s="3" t="e">
        <v>#DIV/0!</v>
      </c>
      <c r="J6" s="3">
        <v>0</v>
      </c>
      <c r="K6" s="3" t="e">
        <v>#DIV/0!</v>
      </c>
      <c r="L6" s="3">
        <v>0</v>
      </c>
    </row>
    <row r="7" spans="1:12" x14ac:dyDescent="0.35">
      <c r="A7" s="2" t="s">
        <v>30</v>
      </c>
      <c r="B7" s="3">
        <v>0</v>
      </c>
      <c r="C7" s="3">
        <v>1</v>
      </c>
      <c r="D7" s="3">
        <v>0</v>
      </c>
      <c r="E7" s="3" t="e">
        <v>#DIV/0!</v>
      </c>
      <c r="F7" s="3">
        <v>0</v>
      </c>
      <c r="G7" s="3">
        <v>0</v>
      </c>
      <c r="H7" s="3">
        <v>0</v>
      </c>
      <c r="I7" s="3" t="e">
        <v>#DIV/0!</v>
      </c>
      <c r="J7" s="3" t="e">
        <v>#DIV/0!</v>
      </c>
      <c r="K7" s="3" t="e">
        <v>#DIV/0!</v>
      </c>
      <c r="L7" s="3" t="e">
        <v>#DIV/0!</v>
      </c>
    </row>
    <row r="8" spans="1:12" x14ac:dyDescent="0.35">
      <c r="A8" s="2" t="s">
        <v>11</v>
      </c>
      <c r="B8" s="3" t="e">
        <v>#N/A</v>
      </c>
      <c r="C8" s="3" t="e">
        <v>#N/A</v>
      </c>
      <c r="D8" s="3" t="e">
        <v>#N/A</v>
      </c>
      <c r="E8" s="3" t="e">
        <v>#N/A</v>
      </c>
      <c r="F8" s="3" t="e">
        <v>#N/A</v>
      </c>
      <c r="G8" s="3" t="e">
        <v>#N/A</v>
      </c>
      <c r="H8" s="3" t="e">
        <v>#N/A</v>
      </c>
      <c r="I8" s="3" t="e">
        <v>#N/A</v>
      </c>
      <c r="J8" s="3" t="e">
        <v>#N/A</v>
      </c>
      <c r="K8" s="3" t="e">
        <v>#N/A</v>
      </c>
      <c r="L8" s="3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911F2-3629-43EB-9DF4-2F97C21CC3F2}">
  <dimension ref="A1:B8"/>
  <sheetViews>
    <sheetView workbookViewId="0"/>
  </sheetViews>
  <sheetFormatPr defaultRowHeight="14.5" x14ac:dyDescent="0.35"/>
  <sheetData>
    <row r="1" spans="1:2" x14ac:dyDescent="0.35">
      <c r="A1" t="s">
        <v>24</v>
      </c>
      <c r="B1" t="s">
        <v>2</v>
      </c>
    </row>
    <row r="2" spans="1:2" x14ac:dyDescent="0.35">
      <c r="A2" t="s">
        <v>25</v>
      </c>
      <c r="B2" t="e">
        <f>NA()</f>
        <v>#N/A</v>
      </c>
    </row>
    <row r="3" spans="1:2" x14ac:dyDescent="0.35">
      <c r="A3" t="s">
        <v>25</v>
      </c>
      <c r="B3">
        <v>3</v>
      </c>
    </row>
    <row r="4" spans="1:2" x14ac:dyDescent="0.35">
      <c r="A4" t="s">
        <v>26</v>
      </c>
      <c r="B4" t="str">
        <f>"#N/A"</f>
        <v>#N/A</v>
      </c>
    </row>
    <row r="5" spans="1:2" x14ac:dyDescent="0.35">
      <c r="A5" t="s">
        <v>27</v>
      </c>
    </row>
    <row r="6" spans="1:2" x14ac:dyDescent="0.35">
      <c r="A6" t="s">
        <v>28</v>
      </c>
      <c r="B6">
        <v>5</v>
      </c>
    </row>
    <row r="7" spans="1:2" x14ac:dyDescent="0.35">
      <c r="A7" t="s">
        <v>29</v>
      </c>
      <c r="B7" t="b">
        <f>TRUE()</f>
        <v>1</v>
      </c>
    </row>
    <row r="8" spans="1:2" x14ac:dyDescent="0.35">
      <c r="A8" t="s">
        <v>30</v>
      </c>
      <c r="B8" t="str">
        <f>"12"</f>
        <v>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DC45E-938A-4F00-AB7F-101D0D251A70}">
  <dimension ref="A1:D6"/>
  <sheetViews>
    <sheetView workbookViewId="0"/>
  </sheetViews>
  <sheetFormatPr defaultRowHeight="14.5" x14ac:dyDescent="0.35"/>
  <cols>
    <col min="1" max="1" width="10.36328125" bestFit="1" customWidth="1"/>
    <col min="2" max="4" width="11.81640625" bestFit="1" customWidth="1"/>
  </cols>
  <sheetData>
    <row r="1" spans="1:4" x14ac:dyDescent="0.35">
      <c r="A1" s="1" t="s">
        <v>13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36</v>
      </c>
      <c r="C3" s="3">
        <v>0</v>
      </c>
      <c r="D3" s="3">
        <v>80.888888888888886</v>
      </c>
    </row>
    <row r="4" spans="1:4" x14ac:dyDescent="0.35">
      <c r="A4" t="s">
        <v>7</v>
      </c>
      <c r="B4" s="3">
        <v>0</v>
      </c>
      <c r="C4" s="3">
        <v>0</v>
      </c>
      <c r="D4" s="3">
        <v>25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24.222222222222221</v>
      </c>
      <c r="C6" s="3">
        <v>6.25</v>
      </c>
      <c r="D6" s="3">
        <v>58.64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D04B6-1E43-4C99-94EF-3114B23F1AA0}">
  <dimension ref="A1:D6"/>
  <sheetViews>
    <sheetView workbookViewId="0"/>
  </sheetViews>
  <sheetFormatPr defaultRowHeight="14.5" x14ac:dyDescent="0.35"/>
  <cols>
    <col min="1" max="1" width="10.36328125" bestFit="1" customWidth="1"/>
    <col min="2" max="4" width="11.81640625" bestFit="1" customWidth="1"/>
  </cols>
  <sheetData>
    <row r="1" spans="1:4" x14ac:dyDescent="0.35">
      <c r="A1" s="1" t="s">
        <v>13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72</v>
      </c>
      <c r="C3" s="3" t="e">
        <v>#DIV/0!</v>
      </c>
      <c r="D3" s="3">
        <v>121.33333333333334</v>
      </c>
    </row>
    <row r="4" spans="1:4" x14ac:dyDescent="0.35">
      <c r="A4" t="s">
        <v>7</v>
      </c>
      <c r="B4" s="3" t="e">
        <v>#DIV/0!</v>
      </c>
      <c r="C4" s="3" t="e">
        <v>#DIV/0!</v>
      </c>
      <c r="D4" s="3">
        <v>50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36.333333333333329</v>
      </c>
      <c r="C6" s="3">
        <v>12.5</v>
      </c>
      <c r="D6" s="3">
        <v>73.3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19A8F-6E61-4C6F-8B89-B03BA1EFDBAC}">
  <dimension ref="A1:D6"/>
  <sheetViews>
    <sheetView workbookViewId="0"/>
  </sheetViews>
  <sheetFormatPr defaultRowHeight="14.5" x14ac:dyDescent="0.35"/>
  <cols>
    <col min="1" max="1" width="10.36328125" bestFit="1" customWidth="1"/>
    <col min="2" max="4" width="11.81640625" bestFit="1" customWidth="1"/>
  </cols>
  <sheetData>
    <row r="1" spans="1:4" x14ac:dyDescent="0.35">
      <c r="A1" s="1" t="s">
        <v>13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6</v>
      </c>
      <c r="C3" s="3">
        <v>0</v>
      </c>
      <c r="D3" s="3">
        <v>8.9938250421546933</v>
      </c>
    </row>
    <row r="4" spans="1:4" x14ac:dyDescent="0.35">
      <c r="A4" t="s">
        <v>7</v>
      </c>
      <c r="B4" s="3">
        <v>0</v>
      </c>
      <c r="C4" s="3">
        <v>0</v>
      </c>
      <c r="D4" s="3">
        <v>5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4.9216076867444665</v>
      </c>
      <c r="C6" s="3">
        <v>2.5</v>
      </c>
      <c r="D6" s="3">
        <v>7.657675887630659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0B5C8-842B-41AA-9ACD-E7D5166DDE04}">
  <dimension ref="A1:D6"/>
  <sheetViews>
    <sheetView workbookViewId="0"/>
  </sheetViews>
  <sheetFormatPr defaultRowHeight="14.5" x14ac:dyDescent="0.35"/>
  <cols>
    <col min="1" max="1" width="10.36328125" bestFit="1" customWidth="1"/>
    <col min="2" max="4" width="11.81640625" bestFit="1" customWidth="1"/>
  </cols>
  <sheetData>
    <row r="1" spans="1:4" x14ac:dyDescent="0.35">
      <c r="A1" s="1" t="s">
        <v>13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8.4852813742385695</v>
      </c>
      <c r="C3" s="3" t="e">
        <v>#DIV/0!</v>
      </c>
      <c r="D3" s="3">
        <v>11.015141094572204</v>
      </c>
    </row>
    <row r="4" spans="1:4" x14ac:dyDescent="0.35">
      <c r="A4" t="s">
        <v>7</v>
      </c>
      <c r="B4" s="3" t="e">
        <v>#DIV/0!</v>
      </c>
      <c r="C4" s="3" t="e">
        <v>#DIV/0!</v>
      </c>
      <c r="D4" s="3">
        <v>7.0710678118654755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6.0277137733417074</v>
      </c>
      <c r="C6" s="3">
        <v>3.5355339059327378</v>
      </c>
      <c r="D6" s="3">
        <v>8.5615419172015965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B9961-9965-4A30-B27E-974E3794B0EA}">
  <dimension ref="A1:D6"/>
  <sheetViews>
    <sheetView workbookViewId="0"/>
  </sheetViews>
  <sheetFormatPr defaultRowHeight="14.5" x14ac:dyDescent="0.35"/>
  <cols>
    <col min="1" max="1" width="10.36328125" bestFit="1" customWidth="1"/>
    <col min="2" max="3" width="9.6328125" bestFit="1" customWidth="1"/>
    <col min="4" max="4" width="10.36328125" bestFit="1" customWidth="1"/>
  </cols>
  <sheetData>
    <row r="1" spans="1:4" x14ac:dyDescent="0.35">
      <c r="A1" s="1" t="s">
        <v>13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-20</v>
      </c>
      <c r="C3" s="3">
        <v>20</v>
      </c>
      <c r="D3" s="3">
        <v>-400</v>
      </c>
    </row>
    <row r="4" spans="1:4" x14ac:dyDescent="0.35">
      <c r="A4" t="s">
        <v>7</v>
      </c>
      <c r="B4" s="3">
        <v>5</v>
      </c>
      <c r="C4" s="3">
        <v>15</v>
      </c>
      <c r="D4" s="3">
        <v>75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-100</v>
      </c>
      <c r="C6" s="3">
        <v>300</v>
      </c>
      <c r="D6" s="3">
        <v>-30000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45F78-998F-4418-AC97-AD7126E589CF}">
  <dimension ref="A1:D6"/>
  <sheetViews>
    <sheetView workbookViewId="0"/>
  </sheetViews>
  <sheetFormatPr defaultRowHeight="14.5" x14ac:dyDescent="0.35"/>
  <cols>
    <col min="1" max="1" width="10.36328125" bestFit="1" customWidth="1"/>
    <col min="2" max="3" width="9.6328125" bestFit="1" customWidth="1"/>
    <col min="4" max="4" width="10.36328125" bestFit="1" customWidth="1"/>
  </cols>
  <sheetData>
    <row r="1" spans="1:4" x14ac:dyDescent="0.35">
      <c r="A1" s="1" t="s">
        <v>13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10</v>
      </c>
      <c r="C3" s="3">
        <v>20</v>
      </c>
      <c r="D3" s="3">
        <v>20</v>
      </c>
    </row>
    <row r="4" spans="1:4" x14ac:dyDescent="0.35">
      <c r="A4" t="s">
        <v>7</v>
      </c>
      <c r="B4" s="3">
        <v>5</v>
      </c>
      <c r="C4" s="3">
        <v>15</v>
      </c>
      <c r="D4" s="3">
        <v>15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10</v>
      </c>
      <c r="C6" s="3">
        <v>20</v>
      </c>
      <c r="D6" s="3">
        <v>20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5DE85-1F44-42A0-80B1-1E268E44FC7A}">
  <dimension ref="A1:D6"/>
  <sheetViews>
    <sheetView workbookViewId="0"/>
  </sheetViews>
  <sheetFormatPr defaultRowHeight="14.5" x14ac:dyDescent="0.35"/>
  <cols>
    <col min="1" max="1" width="10.36328125" bestFit="1" customWidth="1"/>
    <col min="2" max="3" width="9.6328125" bestFit="1" customWidth="1"/>
    <col min="4" max="4" width="10.36328125" bestFit="1" customWidth="1"/>
  </cols>
  <sheetData>
    <row r="1" spans="1:4" x14ac:dyDescent="0.35">
      <c r="A1" s="1" t="s">
        <v>13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-2</v>
      </c>
      <c r="C3" s="3">
        <v>20</v>
      </c>
      <c r="D3" s="3">
        <v>-2</v>
      </c>
    </row>
    <row r="4" spans="1:4" x14ac:dyDescent="0.35">
      <c r="A4" t="s">
        <v>7</v>
      </c>
      <c r="B4" s="3">
        <v>5</v>
      </c>
      <c r="C4" s="3">
        <v>15</v>
      </c>
      <c r="D4" s="3">
        <v>5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-2</v>
      </c>
      <c r="C6" s="3">
        <v>15</v>
      </c>
      <c r="D6" s="3">
        <v>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2A13F-C744-4E76-98C4-E7D937572986}">
  <dimension ref="A1:D6"/>
  <sheetViews>
    <sheetView workbookViewId="0"/>
  </sheetViews>
  <sheetFormatPr defaultRowHeight="14.5" x14ac:dyDescent="0.35"/>
  <cols>
    <col min="1" max="1" width="10.36328125" bestFit="1" customWidth="1"/>
    <col min="2" max="4" width="11.81640625" bestFit="1" customWidth="1"/>
  </cols>
  <sheetData>
    <row r="1" spans="1:4" x14ac:dyDescent="0.35">
      <c r="A1" s="1" t="s">
        <v>13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4</v>
      </c>
      <c r="C3" s="3">
        <v>20</v>
      </c>
      <c r="D3" s="3">
        <v>9.3333333333333339</v>
      </c>
    </row>
    <row r="4" spans="1:4" x14ac:dyDescent="0.35">
      <c r="A4" t="s">
        <v>7</v>
      </c>
      <c r="B4" s="3">
        <v>5</v>
      </c>
      <c r="C4" s="3">
        <v>15</v>
      </c>
      <c r="D4" s="3">
        <v>10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4.333333333333333</v>
      </c>
      <c r="C6" s="3">
        <v>17.5</v>
      </c>
      <c r="D6" s="3">
        <v>9.6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6BD9C-E4EB-4C7F-983D-850D7EBB667A}">
  <dimension ref="A1:D6"/>
  <sheetViews>
    <sheetView workbookViewId="0"/>
  </sheetViews>
  <sheetFormatPr defaultRowHeight="14.5" x14ac:dyDescent="0.35"/>
  <cols>
    <col min="1" max="1" width="10.36328125" bestFit="1" customWidth="1"/>
    <col min="2" max="3" width="9.6328125" bestFit="1" customWidth="1"/>
    <col min="4" max="4" width="10.36328125" bestFit="1" customWidth="1"/>
  </cols>
  <sheetData>
    <row r="1" spans="1:4" x14ac:dyDescent="0.35">
      <c r="A1" s="1" t="s">
        <v>13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2</v>
      </c>
      <c r="C3" s="3">
        <v>1</v>
      </c>
      <c r="D3" s="3">
        <v>3</v>
      </c>
    </row>
    <row r="4" spans="1:4" x14ac:dyDescent="0.35">
      <c r="A4" t="s">
        <v>7</v>
      </c>
      <c r="B4" s="3">
        <v>1</v>
      </c>
      <c r="C4" s="3">
        <v>1</v>
      </c>
      <c r="D4" s="3">
        <v>2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3</v>
      </c>
      <c r="C6" s="3">
        <v>2</v>
      </c>
      <c r="D6" s="3">
        <v>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9A2D7-F0C8-4682-8189-F5F89DF40998}">
  <dimension ref="A1:D6"/>
  <sheetViews>
    <sheetView workbookViewId="0"/>
  </sheetViews>
  <sheetFormatPr defaultRowHeight="14.5" x14ac:dyDescent="0.35"/>
  <cols>
    <col min="1" max="1" width="10.36328125" bestFit="1" customWidth="1"/>
    <col min="2" max="3" width="9.6328125" bestFit="1" customWidth="1"/>
    <col min="4" max="4" width="10.36328125" bestFit="1" customWidth="1"/>
  </cols>
  <sheetData>
    <row r="1" spans="1:4" x14ac:dyDescent="0.35">
      <c r="A1" s="1" t="s">
        <v>13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2</v>
      </c>
      <c r="C3" s="3">
        <v>2</v>
      </c>
      <c r="D3" s="3">
        <v>4</v>
      </c>
    </row>
    <row r="4" spans="1:4" x14ac:dyDescent="0.35">
      <c r="A4" t="s">
        <v>7</v>
      </c>
      <c r="B4" s="3">
        <v>2</v>
      </c>
      <c r="C4" s="3">
        <v>1</v>
      </c>
      <c r="D4" s="3">
        <v>3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4</v>
      </c>
      <c r="C6" s="3">
        <v>3</v>
      </c>
      <c r="D6" s="3">
        <v>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5771D-BFCC-4F77-A705-2F9B185434C6}">
  <dimension ref="A1:D6"/>
  <sheetViews>
    <sheetView workbookViewId="0"/>
  </sheetViews>
  <sheetFormatPr defaultRowHeight="14.5" x14ac:dyDescent="0.35"/>
  <cols>
    <col min="1" max="1" width="10.36328125" bestFit="1" customWidth="1"/>
    <col min="2" max="3" width="9.6328125" bestFit="1" customWidth="1"/>
    <col min="4" max="4" width="10.36328125" bestFit="1" customWidth="1"/>
  </cols>
  <sheetData>
    <row r="1" spans="1:4" x14ac:dyDescent="0.35">
      <c r="A1" s="1" t="s">
        <v>13</v>
      </c>
      <c r="B1" s="1" t="s">
        <v>1</v>
      </c>
    </row>
    <row r="2" spans="1:4" x14ac:dyDescent="0.35">
      <c r="A2" s="1" t="s">
        <v>0</v>
      </c>
      <c r="B2" t="s">
        <v>5</v>
      </c>
      <c r="C2" t="s">
        <v>6</v>
      </c>
      <c r="D2" t="s">
        <v>11</v>
      </c>
    </row>
    <row r="3" spans="1:4" x14ac:dyDescent="0.35">
      <c r="A3" t="s">
        <v>4</v>
      </c>
      <c r="B3" s="3">
        <v>8</v>
      </c>
      <c r="C3" s="3">
        <v>20</v>
      </c>
      <c r="D3" s="3">
        <v>28</v>
      </c>
    </row>
    <row r="4" spans="1:4" x14ac:dyDescent="0.35">
      <c r="A4" t="s">
        <v>7</v>
      </c>
      <c r="B4" s="3">
        <v>5</v>
      </c>
      <c r="C4" s="3">
        <v>15</v>
      </c>
      <c r="D4" s="3">
        <v>20</v>
      </c>
    </row>
    <row r="5" spans="1:4" x14ac:dyDescent="0.35">
      <c r="A5" t="s">
        <v>8</v>
      </c>
      <c r="B5" s="3"/>
      <c r="C5" s="3"/>
      <c r="D5" s="3"/>
    </row>
    <row r="6" spans="1:4" x14ac:dyDescent="0.35">
      <c r="A6" t="s">
        <v>11</v>
      </c>
      <c r="B6" s="3">
        <v>13</v>
      </c>
      <c r="C6" s="3">
        <v>35</v>
      </c>
      <c r="D6" s="3">
        <v>48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460FF-3754-4BA5-915B-5DD8018BBC18}">
  <dimension ref="A1:B165"/>
  <sheetViews>
    <sheetView workbookViewId="0"/>
  </sheetViews>
  <sheetFormatPr defaultRowHeight="14.5" x14ac:dyDescent="0.35"/>
  <sheetData>
    <row r="1" spans="1:2" x14ac:dyDescent="0.35">
      <c r="A1" t="s">
        <v>14</v>
      </c>
      <c r="B1">
        <f>GETPIVOTDATA("Metric",Sum!A1)</f>
        <v>48</v>
      </c>
    </row>
    <row r="2" spans="1:2" x14ac:dyDescent="0.35">
      <c r="A2" t="s">
        <v>14</v>
      </c>
      <c r="B2">
        <f>GETPIVOTDATA("Metric",Sum!A1,"Region","North")</f>
        <v>28</v>
      </c>
    </row>
    <row r="3" spans="1:2" x14ac:dyDescent="0.35">
      <c r="A3" t="s">
        <v>14</v>
      </c>
      <c r="B3">
        <f>GETPIVOTDATA("Metric",Sum!A1,"Region","South")</f>
        <v>20</v>
      </c>
    </row>
    <row r="4" spans="1:2" x14ac:dyDescent="0.35">
      <c r="A4" t="s">
        <v>14</v>
      </c>
      <c r="B4">
        <f>GETPIVOTDATA("Metric",Sum!A1,"Region","West")</f>
        <v>0</v>
      </c>
    </row>
    <row r="5" spans="1:2" x14ac:dyDescent="0.35">
      <c r="A5" t="s">
        <v>14</v>
      </c>
      <c r="B5">
        <f>GETPIVOTDATA("Metric",Sum!A1,"Product","A")</f>
        <v>13</v>
      </c>
    </row>
    <row r="6" spans="1:2" x14ac:dyDescent="0.35">
      <c r="A6" t="s">
        <v>14</v>
      </c>
      <c r="B6">
        <f>GETPIVOTDATA("Metric",Sum!A1,"Product","B")</f>
        <v>35</v>
      </c>
    </row>
    <row r="7" spans="1:2" x14ac:dyDescent="0.35">
      <c r="A7" t="s">
        <v>14</v>
      </c>
      <c r="B7">
        <f>GETPIVOTDATA("Metric",Sum!A1,"Region","North","Product","A")</f>
        <v>8</v>
      </c>
    </row>
    <row r="8" spans="1:2" x14ac:dyDescent="0.35">
      <c r="A8" t="s">
        <v>14</v>
      </c>
      <c r="B8">
        <f>GETPIVOTDATA("Metric",Sum!A1,"Region","South","Product","B")</f>
        <v>15</v>
      </c>
    </row>
    <row r="9" spans="1:2" x14ac:dyDescent="0.35">
      <c r="A9" t="s">
        <v>14</v>
      </c>
      <c r="B9" t="e">
        <f>GETPIVOTDATA("Metric",Sum!A1,"Region","missing")</f>
        <v>#REF!</v>
      </c>
    </row>
    <row r="10" spans="1:2" x14ac:dyDescent="0.35">
      <c r="A10" t="s">
        <v>15</v>
      </c>
      <c r="B10">
        <f>GETPIVOTDATA("Metric",Count!A1)</f>
        <v>7</v>
      </c>
    </row>
    <row r="11" spans="1:2" x14ac:dyDescent="0.35">
      <c r="A11" t="s">
        <v>15</v>
      </c>
      <c r="B11">
        <f>GETPIVOTDATA("Metric",Count!A1,"Region","North")</f>
        <v>4</v>
      </c>
    </row>
    <row r="12" spans="1:2" x14ac:dyDescent="0.35">
      <c r="A12" t="s">
        <v>15</v>
      </c>
      <c r="B12">
        <f>GETPIVOTDATA("Metric",Count!A1,"Region","South")</f>
        <v>3</v>
      </c>
    </row>
    <row r="13" spans="1:2" x14ac:dyDescent="0.35">
      <c r="A13" t="s">
        <v>15</v>
      </c>
      <c r="B13">
        <f>GETPIVOTDATA("Metric",Count!A1,"Region","West")</f>
        <v>0</v>
      </c>
    </row>
    <row r="14" spans="1:2" x14ac:dyDescent="0.35">
      <c r="A14" t="s">
        <v>15</v>
      </c>
      <c r="B14">
        <f>GETPIVOTDATA("Metric",Count!A1,"Product","A")</f>
        <v>4</v>
      </c>
    </row>
    <row r="15" spans="1:2" x14ac:dyDescent="0.35">
      <c r="A15" t="s">
        <v>15</v>
      </c>
      <c r="B15">
        <f>GETPIVOTDATA("Metric",Count!A1,"Product","B")</f>
        <v>3</v>
      </c>
    </row>
    <row r="16" spans="1:2" x14ac:dyDescent="0.35">
      <c r="A16" t="s">
        <v>15</v>
      </c>
      <c r="B16">
        <f>GETPIVOTDATA("Metric",Count!A1,"Region","North","Product","A")</f>
        <v>2</v>
      </c>
    </row>
    <row r="17" spans="1:2" x14ac:dyDescent="0.35">
      <c r="A17" t="s">
        <v>15</v>
      </c>
      <c r="B17">
        <f>GETPIVOTDATA("Metric",Count!A1,"Region","South","Product","B")</f>
        <v>1</v>
      </c>
    </row>
    <row r="18" spans="1:2" x14ac:dyDescent="0.35">
      <c r="A18" t="s">
        <v>15</v>
      </c>
      <c r="B18" t="e">
        <f>GETPIVOTDATA("Metric",Count!A1,"Region","missing")</f>
        <v>#REF!</v>
      </c>
    </row>
    <row r="19" spans="1:2" x14ac:dyDescent="0.35">
      <c r="A19" t="s">
        <v>16</v>
      </c>
      <c r="B19">
        <f>GETPIVOTDATA("Metric",CountNumbers!A1)</f>
        <v>5</v>
      </c>
    </row>
    <row r="20" spans="1:2" x14ac:dyDescent="0.35">
      <c r="A20" t="s">
        <v>16</v>
      </c>
      <c r="B20">
        <f>GETPIVOTDATA("Metric",CountNumbers!A1,"Region","North")</f>
        <v>3</v>
      </c>
    </row>
    <row r="21" spans="1:2" x14ac:dyDescent="0.35">
      <c r="A21" t="s">
        <v>16</v>
      </c>
      <c r="B21">
        <f>GETPIVOTDATA("Metric",CountNumbers!A1,"Region","South")</f>
        <v>2</v>
      </c>
    </row>
    <row r="22" spans="1:2" x14ac:dyDescent="0.35">
      <c r="A22" t="s">
        <v>16</v>
      </c>
      <c r="B22">
        <f>GETPIVOTDATA("Metric",CountNumbers!A1,"Region","West")</f>
        <v>0</v>
      </c>
    </row>
    <row r="23" spans="1:2" x14ac:dyDescent="0.35">
      <c r="A23" t="s">
        <v>16</v>
      </c>
      <c r="B23">
        <f>GETPIVOTDATA("Metric",CountNumbers!A1,"Product","A")</f>
        <v>3</v>
      </c>
    </row>
    <row r="24" spans="1:2" x14ac:dyDescent="0.35">
      <c r="A24" t="s">
        <v>16</v>
      </c>
      <c r="B24">
        <f>GETPIVOTDATA("Metric",CountNumbers!A1,"Product","B")</f>
        <v>2</v>
      </c>
    </row>
    <row r="25" spans="1:2" x14ac:dyDescent="0.35">
      <c r="A25" t="s">
        <v>16</v>
      </c>
      <c r="B25">
        <f>GETPIVOTDATA("Metric",CountNumbers!A1,"Region","North","Product","A")</f>
        <v>2</v>
      </c>
    </row>
    <row r="26" spans="1:2" x14ac:dyDescent="0.35">
      <c r="A26" t="s">
        <v>16</v>
      </c>
      <c r="B26">
        <f>GETPIVOTDATA("Metric",CountNumbers!A1,"Region","South","Product","B")</f>
        <v>1</v>
      </c>
    </row>
    <row r="27" spans="1:2" x14ac:dyDescent="0.35">
      <c r="A27" t="s">
        <v>16</v>
      </c>
      <c r="B27" t="e">
        <f>GETPIVOTDATA("Metric",CountNumbers!A1,"Region","missing")</f>
        <v>#REF!</v>
      </c>
    </row>
    <row r="28" spans="1:2" x14ac:dyDescent="0.35">
      <c r="A28" t="s">
        <v>17</v>
      </c>
      <c r="B28">
        <f>GETPIVOTDATA("Metric",Average!A1)</f>
        <v>9.6</v>
      </c>
    </row>
    <row r="29" spans="1:2" x14ac:dyDescent="0.35">
      <c r="A29" t="s">
        <v>17</v>
      </c>
      <c r="B29">
        <f>GETPIVOTDATA("Metric",Average!A1,"Region","North")</f>
        <v>9.3333333333333339</v>
      </c>
    </row>
    <row r="30" spans="1:2" x14ac:dyDescent="0.35">
      <c r="A30" t="s">
        <v>17</v>
      </c>
      <c r="B30">
        <f>GETPIVOTDATA("Metric",Average!A1,"Region","South")</f>
        <v>10</v>
      </c>
    </row>
    <row r="31" spans="1:2" x14ac:dyDescent="0.35">
      <c r="A31" t="s">
        <v>17</v>
      </c>
      <c r="B31">
        <f>GETPIVOTDATA("Metric",Average!A1,"Region","West")</f>
        <v>0</v>
      </c>
    </row>
    <row r="32" spans="1:2" x14ac:dyDescent="0.35">
      <c r="A32" t="s">
        <v>17</v>
      </c>
      <c r="B32">
        <f>GETPIVOTDATA("Metric",Average!A1,"Product","A")</f>
        <v>4.333333333333333</v>
      </c>
    </row>
    <row r="33" spans="1:2" x14ac:dyDescent="0.35">
      <c r="A33" t="s">
        <v>17</v>
      </c>
      <c r="B33">
        <f>GETPIVOTDATA("Metric",Average!A1,"Product","B")</f>
        <v>17.5</v>
      </c>
    </row>
    <row r="34" spans="1:2" x14ac:dyDescent="0.35">
      <c r="A34" t="s">
        <v>17</v>
      </c>
      <c r="B34">
        <f>GETPIVOTDATA("Metric",Average!A1,"Region","North","Product","A")</f>
        <v>4</v>
      </c>
    </row>
    <row r="35" spans="1:2" x14ac:dyDescent="0.35">
      <c r="A35" t="s">
        <v>17</v>
      </c>
      <c r="B35">
        <f>GETPIVOTDATA("Metric",Average!A1,"Region","South","Product","B")</f>
        <v>15</v>
      </c>
    </row>
    <row r="36" spans="1:2" x14ac:dyDescent="0.35">
      <c r="A36" t="s">
        <v>17</v>
      </c>
      <c r="B36" t="e">
        <f>GETPIVOTDATA("Metric",Average!A1,"Region","missing")</f>
        <v>#REF!</v>
      </c>
    </row>
    <row r="37" spans="1:2" x14ac:dyDescent="0.35">
      <c r="A37" t="s">
        <v>18</v>
      </c>
      <c r="B37">
        <f>GETPIVOTDATA("Metric",Minimum!A1)</f>
        <v>-2</v>
      </c>
    </row>
    <row r="38" spans="1:2" x14ac:dyDescent="0.35">
      <c r="A38" t="s">
        <v>18</v>
      </c>
      <c r="B38">
        <f>GETPIVOTDATA("Metric",Minimum!A1,"Region","North")</f>
        <v>-2</v>
      </c>
    </row>
    <row r="39" spans="1:2" x14ac:dyDescent="0.35">
      <c r="A39" t="s">
        <v>18</v>
      </c>
      <c r="B39">
        <f>GETPIVOTDATA("Metric",Minimum!A1,"Region","South")</f>
        <v>5</v>
      </c>
    </row>
    <row r="40" spans="1:2" x14ac:dyDescent="0.35">
      <c r="A40" t="s">
        <v>18</v>
      </c>
      <c r="B40">
        <f>GETPIVOTDATA("Metric",Minimum!A1,"Region","West")</f>
        <v>0</v>
      </c>
    </row>
    <row r="41" spans="1:2" x14ac:dyDescent="0.35">
      <c r="A41" t="s">
        <v>18</v>
      </c>
      <c r="B41">
        <f>GETPIVOTDATA("Metric",Minimum!A1,"Product","A")</f>
        <v>-2</v>
      </c>
    </row>
    <row r="42" spans="1:2" x14ac:dyDescent="0.35">
      <c r="A42" t="s">
        <v>18</v>
      </c>
      <c r="B42">
        <f>GETPIVOTDATA("Metric",Minimum!A1,"Product","B")</f>
        <v>15</v>
      </c>
    </row>
    <row r="43" spans="1:2" x14ac:dyDescent="0.35">
      <c r="A43" t="s">
        <v>18</v>
      </c>
      <c r="B43">
        <f>GETPIVOTDATA("Metric",Minimum!A1,"Region","North","Product","A")</f>
        <v>-2</v>
      </c>
    </row>
    <row r="44" spans="1:2" x14ac:dyDescent="0.35">
      <c r="A44" t="s">
        <v>18</v>
      </c>
      <c r="B44">
        <f>GETPIVOTDATA("Metric",Minimum!A1,"Region","South","Product","B")</f>
        <v>15</v>
      </c>
    </row>
    <row r="45" spans="1:2" x14ac:dyDescent="0.35">
      <c r="A45" t="s">
        <v>18</v>
      </c>
      <c r="B45" t="e">
        <f>GETPIVOTDATA("Metric",Minimum!A1,"Region","missing")</f>
        <v>#REF!</v>
      </c>
    </row>
    <row r="46" spans="1:2" x14ac:dyDescent="0.35">
      <c r="A46" t="s">
        <v>19</v>
      </c>
      <c r="B46">
        <f>GETPIVOTDATA("Metric",Maximum!A1)</f>
        <v>20</v>
      </c>
    </row>
    <row r="47" spans="1:2" x14ac:dyDescent="0.35">
      <c r="A47" t="s">
        <v>19</v>
      </c>
      <c r="B47">
        <f>GETPIVOTDATA("Metric",Maximum!A1,"Region","North")</f>
        <v>20</v>
      </c>
    </row>
    <row r="48" spans="1:2" x14ac:dyDescent="0.35">
      <c r="A48" t="s">
        <v>19</v>
      </c>
      <c r="B48">
        <f>GETPIVOTDATA("Metric",Maximum!A1,"Region","South")</f>
        <v>15</v>
      </c>
    </row>
    <row r="49" spans="1:2" x14ac:dyDescent="0.35">
      <c r="A49" t="s">
        <v>19</v>
      </c>
      <c r="B49">
        <f>GETPIVOTDATA("Metric",Maximum!A1,"Region","West")</f>
        <v>0</v>
      </c>
    </row>
    <row r="50" spans="1:2" x14ac:dyDescent="0.35">
      <c r="A50" t="s">
        <v>19</v>
      </c>
      <c r="B50">
        <f>GETPIVOTDATA("Metric",Maximum!A1,"Product","A")</f>
        <v>10</v>
      </c>
    </row>
    <row r="51" spans="1:2" x14ac:dyDescent="0.35">
      <c r="A51" t="s">
        <v>19</v>
      </c>
      <c r="B51">
        <f>GETPIVOTDATA("Metric",Maximum!A1,"Product","B")</f>
        <v>20</v>
      </c>
    </row>
    <row r="52" spans="1:2" x14ac:dyDescent="0.35">
      <c r="A52" t="s">
        <v>19</v>
      </c>
      <c r="B52">
        <f>GETPIVOTDATA("Metric",Maximum!A1,"Region","North","Product","A")</f>
        <v>10</v>
      </c>
    </row>
    <row r="53" spans="1:2" x14ac:dyDescent="0.35">
      <c r="A53" t="s">
        <v>19</v>
      </c>
      <c r="B53">
        <f>GETPIVOTDATA("Metric",Maximum!A1,"Region","South","Product","B")</f>
        <v>15</v>
      </c>
    </row>
    <row r="54" spans="1:2" x14ac:dyDescent="0.35">
      <c r="A54" t="s">
        <v>19</v>
      </c>
      <c r="B54" t="e">
        <f>GETPIVOTDATA("Metric",Maximum!A1,"Region","missing")</f>
        <v>#REF!</v>
      </c>
    </row>
    <row r="55" spans="1:2" x14ac:dyDescent="0.35">
      <c r="A55" t="s">
        <v>1</v>
      </c>
      <c r="B55">
        <f>GETPIVOTDATA("Metric",Product!A1)</f>
        <v>-30000</v>
      </c>
    </row>
    <row r="56" spans="1:2" x14ac:dyDescent="0.35">
      <c r="A56" t="s">
        <v>1</v>
      </c>
      <c r="B56">
        <f>GETPIVOTDATA("Metric",Product!A1,"Region","North")</f>
        <v>-400</v>
      </c>
    </row>
    <row r="57" spans="1:2" x14ac:dyDescent="0.35">
      <c r="A57" t="s">
        <v>1</v>
      </c>
      <c r="B57">
        <f>GETPIVOTDATA("Metric",Product!A1,"Region","South")</f>
        <v>75</v>
      </c>
    </row>
    <row r="58" spans="1:2" x14ac:dyDescent="0.35">
      <c r="A58" t="s">
        <v>1</v>
      </c>
      <c r="B58">
        <f>GETPIVOTDATA("Metric",Product!A1,"Region","West")</f>
        <v>0</v>
      </c>
    </row>
    <row r="59" spans="1:2" x14ac:dyDescent="0.35">
      <c r="A59" t="s">
        <v>1</v>
      </c>
      <c r="B59">
        <f>GETPIVOTDATA("Metric",Product!A1,"Product","A")</f>
        <v>-100</v>
      </c>
    </row>
    <row r="60" spans="1:2" x14ac:dyDescent="0.35">
      <c r="A60" t="s">
        <v>1</v>
      </c>
      <c r="B60">
        <f>GETPIVOTDATA("Metric",Product!A1,"Product","B")</f>
        <v>300</v>
      </c>
    </row>
    <row r="61" spans="1:2" x14ac:dyDescent="0.35">
      <c r="A61" t="s">
        <v>1</v>
      </c>
      <c r="B61">
        <f>GETPIVOTDATA("Metric",Product!A1,"Region","North","Product","A")</f>
        <v>-20</v>
      </c>
    </row>
    <row r="62" spans="1:2" x14ac:dyDescent="0.35">
      <c r="A62" t="s">
        <v>1</v>
      </c>
      <c r="B62">
        <f>GETPIVOTDATA("Metric",Product!A1,"Region","South","Product","B")</f>
        <v>15</v>
      </c>
    </row>
    <row r="63" spans="1:2" x14ac:dyDescent="0.35">
      <c r="A63" t="s">
        <v>1</v>
      </c>
      <c r="B63" t="e">
        <f>GETPIVOTDATA("Metric",Product!A1,"Region","missing")</f>
        <v>#REF!</v>
      </c>
    </row>
    <row r="64" spans="1:2" x14ac:dyDescent="0.35">
      <c r="A64" t="s">
        <v>20</v>
      </c>
      <c r="B64">
        <f>GETPIVOTDATA("Metric",StandardDeviation!A1)</f>
        <v>8.5615419172015965</v>
      </c>
    </row>
    <row r="65" spans="1:2" x14ac:dyDescent="0.35">
      <c r="A65" t="s">
        <v>20</v>
      </c>
      <c r="B65">
        <f>GETPIVOTDATA("Metric",StandardDeviation!A1,"Region","North")</f>
        <v>11.015141094572204</v>
      </c>
    </row>
    <row r="66" spans="1:2" x14ac:dyDescent="0.35">
      <c r="A66" t="s">
        <v>20</v>
      </c>
      <c r="B66">
        <f>GETPIVOTDATA("Metric",StandardDeviation!A1,"Region","South")</f>
        <v>7.0710678118654755</v>
      </c>
    </row>
    <row r="67" spans="1:2" x14ac:dyDescent="0.35">
      <c r="A67" t="s">
        <v>20</v>
      </c>
      <c r="B67">
        <f>GETPIVOTDATA("Metric",StandardDeviation!A1,"Region","West")</f>
        <v>0</v>
      </c>
    </row>
    <row r="68" spans="1:2" x14ac:dyDescent="0.35">
      <c r="A68" t="s">
        <v>20</v>
      </c>
      <c r="B68">
        <f>GETPIVOTDATA("Metric",StandardDeviation!A1,"Product","A")</f>
        <v>6.0277137733417074</v>
      </c>
    </row>
    <row r="69" spans="1:2" x14ac:dyDescent="0.35">
      <c r="A69" t="s">
        <v>20</v>
      </c>
      <c r="B69">
        <f>GETPIVOTDATA("Metric",StandardDeviation!A1,"Product","B")</f>
        <v>3.5355339059327378</v>
      </c>
    </row>
    <row r="70" spans="1:2" x14ac:dyDescent="0.35">
      <c r="A70" t="s">
        <v>20</v>
      </c>
      <c r="B70">
        <f>GETPIVOTDATA("Metric",StandardDeviation!A1,"Region","North","Product","A")</f>
        <v>8.4852813742385695</v>
      </c>
    </row>
    <row r="71" spans="1:2" x14ac:dyDescent="0.35">
      <c r="A71" t="s">
        <v>20</v>
      </c>
      <c r="B71" t="e">
        <f>GETPIVOTDATA("Metric",StandardDeviation!A1,"Region","South","Product","B")</f>
        <v>#DIV/0!</v>
      </c>
    </row>
    <row r="72" spans="1:2" x14ac:dyDescent="0.35">
      <c r="A72" t="s">
        <v>20</v>
      </c>
      <c r="B72" t="e">
        <f>GETPIVOTDATA("Metric",StandardDeviation!A1,"Region","missing")</f>
        <v>#REF!</v>
      </c>
    </row>
    <row r="73" spans="1:2" x14ac:dyDescent="0.35">
      <c r="A73" t="s">
        <v>21</v>
      </c>
      <c r="B73">
        <f>GETPIVOTDATA("Metric",StandardDeviationP!A1)</f>
        <v>7.657675887630659</v>
      </c>
    </row>
    <row r="74" spans="1:2" x14ac:dyDescent="0.35">
      <c r="A74" t="s">
        <v>21</v>
      </c>
      <c r="B74">
        <f>GETPIVOTDATA("Metric",StandardDeviationP!A1,"Region","North")</f>
        <v>8.9938250421546933</v>
      </c>
    </row>
    <row r="75" spans="1:2" x14ac:dyDescent="0.35">
      <c r="A75" t="s">
        <v>21</v>
      </c>
      <c r="B75">
        <f>GETPIVOTDATA("Metric",StandardDeviationP!A1,"Region","South")</f>
        <v>5</v>
      </c>
    </row>
    <row r="76" spans="1:2" x14ac:dyDescent="0.35">
      <c r="A76" t="s">
        <v>21</v>
      </c>
      <c r="B76">
        <f>GETPIVOTDATA("Metric",StandardDeviationP!A1,"Region","West")</f>
        <v>0</v>
      </c>
    </row>
    <row r="77" spans="1:2" x14ac:dyDescent="0.35">
      <c r="A77" t="s">
        <v>21</v>
      </c>
      <c r="B77">
        <f>GETPIVOTDATA("Metric",StandardDeviationP!A1,"Product","A")</f>
        <v>4.9216076867444665</v>
      </c>
    </row>
    <row r="78" spans="1:2" x14ac:dyDescent="0.35">
      <c r="A78" t="s">
        <v>21</v>
      </c>
      <c r="B78">
        <f>GETPIVOTDATA("Metric",StandardDeviationP!A1,"Product","B")</f>
        <v>2.5</v>
      </c>
    </row>
    <row r="79" spans="1:2" x14ac:dyDescent="0.35">
      <c r="A79" t="s">
        <v>21</v>
      </c>
      <c r="B79">
        <f>GETPIVOTDATA("Metric",StandardDeviationP!A1,"Region","North","Product","A")</f>
        <v>6</v>
      </c>
    </row>
    <row r="80" spans="1:2" x14ac:dyDescent="0.35">
      <c r="A80" t="s">
        <v>21</v>
      </c>
      <c r="B80">
        <f>GETPIVOTDATA("Metric",StandardDeviationP!A1,"Region","South","Product","B")</f>
        <v>0</v>
      </c>
    </row>
    <row r="81" spans="1:2" x14ac:dyDescent="0.35">
      <c r="A81" t="s">
        <v>21</v>
      </c>
      <c r="B81" t="e">
        <f>GETPIVOTDATA("Metric",StandardDeviationP!A1,"Region","missing")</f>
        <v>#REF!</v>
      </c>
    </row>
    <row r="82" spans="1:2" x14ac:dyDescent="0.35">
      <c r="A82" t="s">
        <v>22</v>
      </c>
      <c r="B82">
        <f>GETPIVOTDATA("Metric",Variance!A1)</f>
        <v>73.3</v>
      </c>
    </row>
    <row r="83" spans="1:2" x14ac:dyDescent="0.35">
      <c r="A83" t="s">
        <v>22</v>
      </c>
      <c r="B83">
        <f>GETPIVOTDATA("Metric",Variance!A1,"Region","North")</f>
        <v>121.33333333333334</v>
      </c>
    </row>
    <row r="84" spans="1:2" x14ac:dyDescent="0.35">
      <c r="A84" t="s">
        <v>22</v>
      </c>
      <c r="B84">
        <f>GETPIVOTDATA("Metric",Variance!A1,"Region","South")</f>
        <v>50</v>
      </c>
    </row>
    <row r="85" spans="1:2" x14ac:dyDescent="0.35">
      <c r="A85" t="s">
        <v>22</v>
      </c>
      <c r="B85">
        <f>GETPIVOTDATA("Metric",Variance!A1,"Region","West")</f>
        <v>0</v>
      </c>
    </row>
    <row r="86" spans="1:2" x14ac:dyDescent="0.35">
      <c r="A86" t="s">
        <v>22</v>
      </c>
      <c r="B86">
        <f>GETPIVOTDATA("Metric",Variance!A1,"Product","A")</f>
        <v>36.333333333333329</v>
      </c>
    </row>
    <row r="87" spans="1:2" x14ac:dyDescent="0.35">
      <c r="A87" t="s">
        <v>22</v>
      </c>
      <c r="B87">
        <f>GETPIVOTDATA("Metric",Variance!A1,"Product","B")</f>
        <v>12.5</v>
      </c>
    </row>
    <row r="88" spans="1:2" x14ac:dyDescent="0.35">
      <c r="A88" t="s">
        <v>22</v>
      </c>
      <c r="B88">
        <f>GETPIVOTDATA("Metric",Variance!A1,"Region","North","Product","A")</f>
        <v>72</v>
      </c>
    </row>
    <row r="89" spans="1:2" x14ac:dyDescent="0.35">
      <c r="A89" t="s">
        <v>22</v>
      </c>
      <c r="B89" t="e">
        <f>GETPIVOTDATA("Metric",Variance!A1,"Region","South","Product","B")</f>
        <v>#DIV/0!</v>
      </c>
    </row>
    <row r="90" spans="1:2" x14ac:dyDescent="0.35">
      <c r="A90" t="s">
        <v>22</v>
      </c>
      <c r="B90" t="e">
        <f>GETPIVOTDATA("Metric",Variance!A1,"Region","missing")</f>
        <v>#REF!</v>
      </c>
    </row>
    <row r="91" spans="1:2" x14ac:dyDescent="0.35">
      <c r="A91" t="s">
        <v>23</v>
      </c>
      <c r="B91">
        <f>GETPIVOTDATA("Metric",VarianceP!A1)</f>
        <v>58.64</v>
      </c>
    </row>
    <row r="92" spans="1:2" x14ac:dyDescent="0.35">
      <c r="A92" t="s">
        <v>23</v>
      </c>
      <c r="B92">
        <f>GETPIVOTDATA("Metric",VarianceP!A1,"Region","North")</f>
        <v>80.888888888888886</v>
      </c>
    </row>
    <row r="93" spans="1:2" x14ac:dyDescent="0.35">
      <c r="A93" t="s">
        <v>23</v>
      </c>
      <c r="B93">
        <f>GETPIVOTDATA("Metric",VarianceP!A1,"Region","South")</f>
        <v>25</v>
      </c>
    </row>
    <row r="94" spans="1:2" x14ac:dyDescent="0.35">
      <c r="A94" t="s">
        <v>23</v>
      </c>
      <c r="B94">
        <f>GETPIVOTDATA("Metric",VarianceP!A1,"Region","West")</f>
        <v>0</v>
      </c>
    </row>
    <row r="95" spans="1:2" x14ac:dyDescent="0.35">
      <c r="A95" t="s">
        <v>23</v>
      </c>
      <c r="B95">
        <f>GETPIVOTDATA("Metric",VarianceP!A1,"Product","A")</f>
        <v>24.222222222222221</v>
      </c>
    </row>
    <row r="96" spans="1:2" x14ac:dyDescent="0.35">
      <c r="A96" t="s">
        <v>23</v>
      </c>
      <c r="B96">
        <f>GETPIVOTDATA("Metric",VarianceP!A1,"Product","B")</f>
        <v>6.25</v>
      </c>
    </row>
    <row r="97" spans="1:2" x14ac:dyDescent="0.35">
      <c r="A97" t="s">
        <v>23</v>
      </c>
      <c r="B97">
        <f>GETPIVOTDATA("Metric",VarianceP!A1,"Region","North","Product","A")</f>
        <v>36</v>
      </c>
    </row>
    <row r="98" spans="1:2" x14ac:dyDescent="0.35">
      <c r="A98" t="s">
        <v>23</v>
      </c>
      <c r="B98">
        <f>GETPIVOTDATA("Metric",VarianceP!A1,"Region","South","Product","B")</f>
        <v>0</v>
      </c>
    </row>
    <row r="99" spans="1:2" x14ac:dyDescent="0.35">
      <c r="A99" t="s">
        <v>23</v>
      </c>
      <c r="B99" t="e">
        <f>GETPIVOTDATA("Metric",VarianceP!A1,"Region","missing")</f>
        <v>#REF!</v>
      </c>
    </row>
    <row r="100" spans="1:2" x14ac:dyDescent="0.35">
      <c r="A100" t="s">
        <v>31</v>
      </c>
      <c r="B100" t="e">
        <f>GETPIVOTDATA("Sum",ErrorGroups!A1,"Group","Error")</f>
        <v>#N/A</v>
      </c>
    </row>
    <row r="101" spans="1:2" x14ac:dyDescent="0.35">
      <c r="A101" t="s">
        <v>31</v>
      </c>
      <c r="B101">
        <f>GETPIVOTDATA("Sum",ErrorGroups!A1,"Group","Literal")</f>
        <v>0</v>
      </c>
    </row>
    <row r="102" spans="1:2" x14ac:dyDescent="0.35">
      <c r="A102" t="s">
        <v>31</v>
      </c>
      <c r="B102">
        <f>GETPIVOTDATA("Sum",ErrorGroups!A1,"Group","Empty")</f>
        <v>0</v>
      </c>
    </row>
    <row r="103" spans="1:2" x14ac:dyDescent="0.35">
      <c r="A103" t="s">
        <v>31</v>
      </c>
      <c r="B103">
        <f>GETPIVOTDATA("Sum",ErrorGroups!A1,"Group","Single")</f>
        <v>5</v>
      </c>
    </row>
    <row r="104" spans="1:2" x14ac:dyDescent="0.35">
      <c r="A104" t="s">
        <v>31</v>
      </c>
      <c r="B104">
        <f>GETPIVOTDATA("Sum",ErrorGroups!A1,"Group","Boolean")</f>
        <v>0</v>
      </c>
    </row>
    <row r="105" spans="1:2" x14ac:dyDescent="0.35">
      <c r="A105" t="s">
        <v>31</v>
      </c>
      <c r="B105">
        <f>GETPIVOTDATA("Sum",ErrorGroups!A1,"Group","TextNumber")</f>
        <v>0</v>
      </c>
    </row>
    <row r="106" spans="1:2" x14ac:dyDescent="0.35">
      <c r="A106" t="s">
        <v>32</v>
      </c>
      <c r="B106">
        <f>GETPIVOTDATA("Count",ErrorGroups!A1,"Group","Error")</f>
        <v>2</v>
      </c>
    </row>
    <row r="107" spans="1:2" x14ac:dyDescent="0.35">
      <c r="A107" t="s">
        <v>32</v>
      </c>
      <c r="B107">
        <f>GETPIVOTDATA("Count",ErrorGroups!A1,"Group","Literal")</f>
        <v>1</v>
      </c>
    </row>
    <row r="108" spans="1:2" x14ac:dyDescent="0.35">
      <c r="A108" t="s">
        <v>32</v>
      </c>
      <c r="B108">
        <f>GETPIVOTDATA("Count",ErrorGroups!A1,"Group","Empty")</f>
        <v>0</v>
      </c>
    </row>
    <row r="109" spans="1:2" x14ac:dyDescent="0.35">
      <c r="A109" t="s">
        <v>32</v>
      </c>
      <c r="B109">
        <f>GETPIVOTDATA("Count",ErrorGroups!A1,"Group","Single")</f>
        <v>1</v>
      </c>
    </row>
    <row r="110" spans="1:2" x14ac:dyDescent="0.35">
      <c r="A110" t="s">
        <v>32</v>
      </c>
      <c r="B110">
        <f>GETPIVOTDATA("Count",ErrorGroups!A1,"Group","Boolean")</f>
        <v>1</v>
      </c>
    </row>
    <row r="111" spans="1:2" x14ac:dyDescent="0.35">
      <c r="A111" t="s">
        <v>32</v>
      </c>
      <c r="B111">
        <f>GETPIVOTDATA("Count",ErrorGroups!A1,"Group","TextNumber")</f>
        <v>1</v>
      </c>
    </row>
    <row r="112" spans="1:2" x14ac:dyDescent="0.35">
      <c r="A112" t="s">
        <v>33</v>
      </c>
      <c r="B112">
        <f>GETPIVOTDATA("CountNumbers",ErrorGroups!A1,"Group","Error")</f>
        <v>1</v>
      </c>
    </row>
    <row r="113" spans="1:2" x14ac:dyDescent="0.35">
      <c r="A113" t="s">
        <v>33</v>
      </c>
      <c r="B113">
        <f>GETPIVOTDATA("CountNumbers",ErrorGroups!A1,"Group","Literal")</f>
        <v>0</v>
      </c>
    </row>
    <row r="114" spans="1:2" x14ac:dyDescent="0.35">
      <c r="A114" t="s">
        <v>33</v>
      </c>
      <c r="B114">
        <f>GETPIVOTDATA("CountNumbers",ErrorGroups!A1,"Group","Empty")</f>
        <v>0</v>
      </c>
    </row>
    <row r="115" spans="1:2" x14ac:dyDescent="0.35">
      <c r="A115" t="s">
        <v>33</v>
      </c>
      <c r="B115">
        <f>GETPIVOTDATA("CountNumbers",ErrorGroups!A1,"Group","Single")</f>
        <v>1</v>
      </c>
    </row>
    <row r="116" spans="1:2" x14ac:dyDescent="0.35">
      <c r="A116" t="s">
        <v>33</v>
      </c>
      <c r="B116">
        <f>GETPIVOTDATA("CountNumbers",ErrorGroups!A1,"Group","Boolean")</f>
        <v>0</v>
      </c>
    </row>
    <row r="117" spans="1:2" x14ac:dyDescent="0.35">
      <c r="A117" t="s">
        <v>33</v>
      </c>
      <c r="B117">
        <f>GETPIVOTDATA("CountNumbers",ErrorGroups!A1,"Group","TextNumber")</f>
        <v>0</v>
      </c>
    </row>
    <row r="118" spans="1:2" x14ac:dyDescent="0.35">
      <c r="A118" t="s">
        <v>34</v>
      </c>
      <c r="B118" t="e">
        <f>GETPIVOTDATA("Average",ErrorGroups!A1,"Group","Error")</f>
        <v>#N/A</v>
      </c>
    </row>
    <row r="119" spans="1:2" x14ac:dyDescent="0.35">
      <c r="A119" t="s">
        <v>34</v>
      </c>
      <c r="B119" t="e">
        <f>GETPIVOTDATA("Average",ErrorGroups!A1,"Group","Literal")</f>
        <v>#DIV/0!</v>
      </c>
    </row>
    <row r="120" spans="1:2" x14ac:dyDescent="0.35">
      <c r="A120" t="s">
        <v>34</v>
      </c>
      <c r="B120">
        <f>GETPIVOTDATA("Average",ErrorGroups!A1,"Group","Empty")</f>
        <v>0</v>
      </c>
    </row>
    <row r="121" spans="1:2" x14ac:dyDescent="0.35">
      <c r="A121" t="s">
        <v>34</v>
      </c>
      <c r="B121">
        <f>GETPIVOTDATA("Average",ErrorGroups!A1,"Group","Single")</f>
        <v>5</v>
      </c>
    </row>
    <row r="122" spans="1:2" x14ac:dyDescent="0.35">
      <c r="A122" t="s">
        <v>34</v>
      </c>
      <c r="B122" t="e">
        <f>GETPIVOTDATA("Average",ErrorGroups!A1,"Group","Boolean")</f>
        <v>#DIV/0!</v>
      </c>
    </row>
    <row r="123" spans="1:2" x14ac:dyDescent="0.35">
      <c r="A123" t="s">
        <v>34</v>
      </c>
      <c r="B123" t="e">
        <f>GETPIVOTDATA("Average",ErrorGroups!A1,"Group","TextNumber")</f>
        <v>#DIV/0!</v>
      </c>
    </row>
    <row r="124" spans="1:2" x14ac:dyDescent="0.35">
      <c r="A124" t="s">
        <v>35</v>
      </c>
      <c r="B124" t="e">
        <f>GETPIVOTDATA("Minimum",ErrorGroups!A1,"Group","Error")</f>
        <v>#N/A</v>
      </c>
    </row>
    <row r="125" spans="1:2" x14ac:dyDescent="0.35">
      <c r="A125" t="s">
        <v>35</v>
      </c>
      <c r="B125">
        <f>GETPIVOTDATA("Minimum",ErrorGroups!A1,"Group","Literal")</f>
        <v>0</v>
      </c>
    </row>
    <row r="126" spans="1:2" x14ac:dyDescent="0.35">
      <c r="A126" t="s">
        <v>35</v>
      </c>
      <c r="B126">
        <f>GETPIVOTDATA("Minimum",ErrorGroups!A1,"Group","Empty")</f>
        <v>0</v>
      </c>
    </row>
    <row r="127" spans="1:2" x14ac:dyDescent="0.35">
      <c r="A127" t="s">
        <v>35</v>
      </c>
      <c r="B127">
        <f>GETPIVOTDATA("Minimum",ErrorGroups!A1,"Group","Single")</f>
        <v>5</v>
      </c>
    </row>
    <row r="128" spans="1:2" x14ac:dyDescent="0.35">
      <c r="A128" t="s">
        <v>35</v>
      </c>
      <c r="B128">
        <f>GETPIVOTDATA("Minimum",ErrorGroups!A1,"Group","Boolean")</f>
        <v>0</v>
      </c>
    </row>
    <row r="129" spans="1:2" x14ac:dyDescent="0.35">
      <c r="A129" t="s">
        <v>35</v>
      </c>
      <c r="B129">
        <f>GETPIVOTDATA("Minimum",ErrorGroups!A1,"Group","TextNumber")</f>
        <v>0</v>
      </c>
    </row>
    <row r="130" spans="1:2" x14ac:dyDescent="0.35">
      <c r="A130" t="s">
        <v>36</v>
      </c>
      <c r="B130" t="e">
        <f>GETPIVOTDATA("Maximum",ErrorGroups!A1,"Group","Error")</f>
        <v>#N/A</v>
      </c>
    </row>
    <row r="131" spans="1:2" x14ac:dyDescent="0.35">
      <c r="A131" t="s">
        <v>36</v>
      </c>
      <c r="B131">
        <f>GETPIVOTDATA("Maximum",ErrorGroups!A1,"Group","Literal")</f>
        <v>0</v>
      </c>
    </row>
    <row r="132" spans="1:2" x14ac:dyDescent="0.35">
      <c r="A132" t="s">
        <v>36</v>
      </c>
      <c r="B132">
        <f>GETPIVOTDATA("Maximum",ErrorGroups!A1,"Group","Empty")</f>
        <v>0</v>
      </c>
    </row>
    <row r="133" spans="1:2" x14ac:dyDescent="0.35">
      <c r="A133" t="s">
        <v>36</v>
      </c>
      <c r="B133">
        <f>GETPIVOTDATA("Maximum",ErrorGroups!A1,"Group","Single")</f>
        <v>5</v>
      </c>
    </row>
    <row r="134" spans="1:2" x14ac:dyDescent="0.35">
      <c r="A134" t="s">
        <v>36</v>
      </c>
      <c r="B134">
        <f>GETPIVOTDATA("Maximum",ErrorGroups!A1,"Group","Boolean")</f>
        <v>0</v>
      </c>
    </row>
    <row r="135" spans="1:2" x14ac:dyDescent="0.35">
      <c r="A135" t="s">
        <v>36</v>
      </c>
      <c r="B135">
        <f>GETPIVOTDATA("Maximum",ErrorGroups!A1,"Group","TextNumber")</f>
        <v>0</v>
      </c>
    </row>
    <row r="136" spans="1:2" x14ac:dyDescent="0.35">
      <c r="A136" t="s">
        <v>37</v>
      </c>
      <c r="B136" t="e">
        <f>GETPIVOTDATA("Product",ErrorGroups!A1,"Group","Error")</f>
        <v>#N/A</v>
      </c>
    </row>
    <row r="137" spans="1:2" x14ac:dyDescent="0.35">
      <c r="A137" t="s">
        <v>37</v>
      </c>
      <c r="B137">
        <f>GETPIVOTDATA("Product",ErrorGroups!A1,"Group","Literal")</f>
        <v>0</v>
      </c>
    </row>
    <row r="138" spans="1:2" x14ac:dyDescent="0.35">
      <c r="A138" t="s">
        <v>37</v>
      </c>
      <c r="B138">
        <f>GETPIVOTDATA("Product",ErrorGroups!A1,"Group","Empty")</f>
        <v>0</v>
      </c>
    </row>
    <row r="139" spans="1:2" x14ac:dyDescent="0.35">
      <c r="A139" t="s">
        <v>37</v>
      </c>
      <c r="B139">
        <f>GETPIVOTDATA("Product",ErrorGroups!A1,"Group","Single")</f>
        <v>5</v>
      </c>
    </row>
    <row r="140" spans="1:2" x14ac:dyDescent="0.35">
      <c r="A140" t="s">
        <v>37</v>
      </c>
      <c r="B140">
        <f>GETPIVOTDATA("Product",ErrorGroups!A1,"Group","Boolean")</f>
        <v>0</v>
      </c>
    </row>
    <row r="141" spans="1:2" x14ac:dyDescent="0.35">
      <c r="A141" t="s">
        <v>37</v>
      </c>
      <c r="B141">
        <f>GETPIVOTDATA("Product",ErrorGroups!A1,"Group","TextNumber")</f>
        <v>0</v>
      </c>
    </row>
    <row r="142" spans="1:2" x14ac:dyDescent="0.35">
      <c r="A142" t="s">
        <v>38</v>
      </c>
      <c r="B142" t="e">
        <f>GETPIVOTDATA("StandardDeviation",ErrorGroups!A1,"Group","Error")</f>
        <v>#N/A</v>
      </c>
    </row>
    <row r="143" spans="1:2" x14ac:dyDescent="0.35">
      <c r="A143" t="s">
        <v>38</v>
      </c>
      <c r="B143" t="e">
        <f>GETPIVOTDATA("StandardDeviation",ErrorGroups!A1,"Group","Literal")</f>
        <v>#DIV/0!</v>
      </c>
    </row>
    <row r="144" spans="1:2" x14ac:dyDescent="0.35">
      <c r="A144" t="s">
        <v>38</v>
      </c>
      <c r="B144">
        <f>GETPIVOTDATA("StandardDeviation",ErrorGroups!A1,"Group","Empty")</f>
        <v>0</v>
      </c>
    </row>
    <row r="145" spans="1:2" x14ac:dyDescent="0.35">
      <c r="A145" t="s">
        <v>38</v>
      </c>
      <c r="B145" t="e">
        <f>GETPIVOTDATA("StandardDeviation",ErrorGroups!A1,"Group","Single")</f>
        <v>#DIV/0!</v>
      </c>
    </row>
    <row r="146" spans="1:2" x14ac:dyDescent="0.35">
      <c r="A146" t="s">
        <v>38</v>
      </c>
      <c r="B146" t="e">
        <f>GETPIVOTDATA("StandardDeviation",ErrorGroups!A1,"Group","Boolean")</f>
        <v>#DIV/0!</v>
      </c>
    </row>
    <row r="147" spans="1:2" x14ac:dyDescent="0.35">
      <c r="A147" t="s">
        <v>38</v>
      </c>
      <c r="B147" t="e">
        <f>GETPIVOTDATA("StandardDeviation",ErrorGroups!A1,"Group","TextNumber")</f>
        <v>#DIV/0!</v>
      </c>
    </row>
    <row r="148" spans="1:2" x14ac:dyDescent="0.35">
      <c r="A148" t="s">
        <v>39</v>
      </c>
      <c r="B148" t="e">
        <f>GETPIVOTDATA("StandardDeviationP",ErrorGroups!A1,"Group","Error")</f>
        <v>#N/A</v>
      </c>
    </row>
    <row r="149" spans="1:2" x14ac:dyDescent="0.35">
      <c r="A149" t="s">
        <v>39</v>
      </c>
      <c r="B149" t="e">
        <f>GETPIVOTDATA("StandardDeviationP",ErrorGroups!A1,"Group","Literal")</f>
        <v>#DIV/0!</v>
      </c>
    </row>
    <row r="150" spans="1:2" x14ac:dyDescent="0.35">
      <c r="A150" t="s">
        <v>39</v>
      </c>
      <c r="B150">
        <f>GETPIVOTDATA("StandardDeviationP",ErrorGroups!A1,"Group","Empty")</f>
        <v>0</v>
      </c>
    </row>
    <row r="151" spans="1:2" x14ac:dyDescent="0.35">
      <c r="A151" t="s">
        <v>39</v>
      </c>
      <c r="B151">
        <f>GETPIVOTDATA("StandardDeviationP",ErrorGroups!A1,"Group","Single")</f>
        <v>0</v>
      </c>
    </row>
    <row r="152" spans="1:2" x14ac:dyDescent="0.35">
      <c r="A152" t="s">
        <v>39</v>
      </c>
      <c r="B152" t="e">
        <f>GETPIVOTDATA("StandardDeviationP",ErrorGroups!A1,"Group","Boolean")</f>
        <v>#DIV/0!</v>
      </c>
    </row>
    <row r="153" spans="1:2" x14ac:dyDescent="0.35">
      <c r="A153" t="s">
        <v>39</v>
      </c>
      <c r="B153" t="e">
        <f>GETPIVOTDATA("StandardDeviationP",ErrorGroups!A1,"Group","TextNumber")</f>
        <v>#DIV/0!</v>
      </c>
    </row>
    <row r="154" spans="1:2" x14ac:dyDescent="0.35">
      <c r="A154" t="s">
        <v>40</v>
      </c>
      <c r="B154" t="e">
        <f>GETPIVOTDATA("Variance",ErrorGroups!A1,"Group","Error")</f>
        <v>#N/A</v>
      </c>
    </row>
    <row r="155" spans="1:2" x14ac:dyDescent="0.35">
      <c r="A155" t="s">
        <v>40</v>
      </c>
      <c r="B155" t="e">
        <f>GETPIVOTDATA("Variance",ErrorGroups!A1,"Group","Literal")</f>
        <v>#DIV/0!</v>
      </c>
    </row>
    <row r="156" spans="1:2" x14ac:dyDescent="0.35">
      <c r="A156" t="s">
        <v>40</v>
      </c>
      <c r="B156">
        <f>GETPIVOTDATA("Variance",ErrorGroups!A1,"Group","Empty")</f>
        <v>0</v>
      </c>
    </row>
    <row r="157" spans="1:2" x14ac:dyDescent="0.35">
      <c r="A157" t="s">
        <v>40</v>
      </c>
      <c r="B157" t="e">
        <f>GETPIVOTDATA("Variance",ErrorGroups!A1,"Group","Single")</f>
        <v>#DIV/0!</v>
      </c>
    </row>
    <row r="158" spans="1:2" x14ac:dyDescent="0.35">
      <c r="A158" t="s">
        <v>40</v>
      </c>
      <c r="B158" t="e">
        <f>GETPIVOTDATA("Variance",ErrorGroups!A1,"Group","Boolean")</f>
        <v>#DIV/0!</v>
      </c>
    </row>
    <row r="159" spans="1:2" x14ac:dyDescent="0.35">
      <c r="A159" t="s">
        <v>40</v>
      </c>
      <c r="B159" t="e">
        <f>GETPIVOTDATA("Variance",ErrorGroups!A1,"Group","TextNumber")</f>
        <v>#DIV/0!</v>
      </c>
    </row>
    <row r="160" spans="1:2" x14ac:dyDescent="0.35">
      <c r="A160" t="s">
        <v>41</v>
      </c>
      <c r="B160" t="e">
        <f>GETPIVOTDATA("VarianceP",ErrorGroups!A1,"Group","Error")</f>
        <v>#N/A</v>
      </c>
    </row>
    <row r="161" spans="1:2" x14ac:dyDescent="0.35">
      <c r="A161" t="s">
        <v>41</v>
      </c>
      <c r="B161" t="e">
        <f>GETPIVOTDATA("VarianceP",ErrorGroups!A1,"Group","Literal")</f>
        <v>#DIV/0!</v>
      </c>
    </row>
    <row r="162" spans="1:2" x14ac:dyDescent="0.35">
      <c r="A162" t="s">
        <v>41</v>
      </c>
      <c r="B162">
        <f>GETPIVOTDATA("VarianceP",ErrorGroups!A1,"Group","Empty")</f>
        <v>0</v>
      </c>
    </row>
    <row r="163" spans="1:2" x14ac:dyDescent="0.35">
      <c r="A163" t="s">
        <v>41</v>
      </c>
      <c r="B163">
        <f>GETPIVOTDATA("VarianceP",ErrorGroups!A1,"Group","Single")</f>
        <v>0</v>
      </c>
    </row>
    <row r="164" spans="1:2" x14ac:dyDescent="0.35">
      <c r="A164" t="s">
        <v>41</v>
      </c>
      <c r="B164" t="e">
        <f>GETPIVOTDATA("VarianceP",ErrorGroups!A1,"Group","Boolean")</f>
        <v>#DIV/0!</v>
      </c>
    </row>
    <row r="165" spans="1:2" x14ac:dyDescent="0.35">
      <c r="A165" t="s">
        <v>41</v>
      </c>
      <c r="B165" t="e">
        <f>GETPIVOTDATA("VarianceP",ErrorGroups!A1,"Group","TextNumber")</f>
        <v>#DIV/0!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0393D-35C8-4CAF-8447-535D92550BE2}">
  <dimension ref="A1:D9"/>
  <sheetViews>
    <sheetView workbookViewId="0"/>
  </sheetViews>
  <sheetFormatPr defaultRowHeight="14.5" x14ac:dyDescent="0.35"/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4</v>
      </c>
      <c r="B2" t="s">
        <v>5</v>
      </c>
      <c r="C2">
        <v>10</v>
      </c>
      <c r="D2">
        <v>2</v>
      </c>
    </row>
    <row r="3" spans="1:4" x14ac:dyDescent="0.35">
      <c r="A3" t="s">
        <v>4</v>
      </c>
      <c r="B3" t="s">
        <v>6</v>
      </c>
      <c r="C3">
        <v>20</v>
      </c>
      <c r="D3">
        <v>3</v>
      </c>
    </row>
    <row r="4" spans="1:4" x14ac:dyDescent="0.35">
      <c r="A4" t="s">
        <v>7</v>
      </c>
      <c r="B4" t="s">
        <v>5</v>
      </c>
      <c r="C4">
        <v>5</v>
      </c>
      <c r="D4">
        <v>1</v>
      </c>
    </row>
    <row r="5" spans="1:4" x14ac:dyDescent="0.35">
      <c r="A5" t="s">
        <v>7</v>
      </c>
      <c r="B5" t="s">
        <v>6</v>
      </c>
      <c r="C5">
        <v>15</v>
      </c>
      <c r="D5">
        <v>4</v>
      </c>
    </row>
    <row r="6" spans="1:4" x14ac:dyDescent="0.35">
      <c r="A6" t="s">
        <v>4</v>
      </c>
      <c r="B6" t="s">
        <v>5</v>
      </c>
      <c r="C6">
        <v>-2</v>
      </c>
      <c r="D6">
        <v>1</v>
      </c>
    </row>
    <row r="7" spans="1:4" x14ac:dyDescent="0.35">
      <c r="A7" t="s">
        <v>8</v>
      </c>
      <c r="B7" t="s">
        <v>6</v>
      </c>
      <c r="D7">
        <v>5</v>
      </c>
    </row>
    <row r="8" spans="1:4" x14ac:dyDescent="0.35">
      <c r="A8" t="s">
        <v>7</v>
      </c>
      <c r="B8" t="s">
        <v>5</v>
      </c>
      <c r="C8" t="s">
        <v>9</v>
      </c>
      <c r="D8">
        <v>2</v>
      </c>
    </row>
    <row r="9" spans="1:4" x14ac:dyDescent="0.35">
      <c r="A9" t="s">
        <v>4</v>
      </c>
      <c r="B9" t="s">
        <v>6</v>
      </c>
      <c r="C9" t="b">
        <v>1</v>
      </c>
      <c r="D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LookupEdges</vt:lpstr>
      <vt:lpstr>ErrorNumbers</vt:lpstr>
      <vt:lpstr>ErrorCount</vt:lpstr>
      <vt:lpstr>Keys</vt:lpstr>
      <vt:lpstr>KeySource</vt:lpstr>
      <vt:lpstr>Scalar</vt:lpstr>
      <vt:lpstr>ColumnsOnly</vt:lpstr>
      <vt:lpstr>RowsOnly</vt:lpstr>
      <vt:lpstr>ErrorGroups</vt:lpstr>
      <vt:lpstr>ErrorSource</vt:lpstr>
      <vt:lpstr>VarianceP</vt:lpstr>
      <vt:lpstr>Variance</vt:lpstr>
      <vt:lpstr>StandardDeviationP</vt:lpstr>
      <vt:lpstr>StandardDeviation</vt:lpstr>
      <vt:lpstr>Product</vt:lpstr>
      <vt:lpstr>Maximum</vt:lpstr>
      <vt:lpstr>Minimum</vt:lpstr>
      <vt:lpstr>Average</vt:lpstr>
      <vt:lpstr>CountNumbers</vt:lpstr>
      <vt:lpstr>Count</vt:lpstr>
      <vt:lpstr>Sum</vt:lpstr>
      <vt:lpstr>Lookups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2026-09-27T14:37:18Z</dcterms:created>
  <dcterms:modified xsi:type="dcterms:W3CDTF">2026-09-27T14:37:21Z</dcterms:modified>
</cp:coreProperties>
</file>