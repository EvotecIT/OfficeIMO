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"/>
    </mc:Choice>
  </mc:AlternateContent>
  <xr:revisionPtr revIDLastSave="0" documentId="8_{DB76FE33-5CBF-4145-BBFE-DA89713F66CF}" xr6:coauthVersionLast="47" xr6:coauthVersionMax="47" xr10:uidLastSave="{00000000-0000-0000-0000-000000000000}"/>
  <bookViews>
    <workbookView xWindow="-110" yWindow="-110" windowWidth="38620" windowHeight="21100" xr2:uid="{8DD4ED6A-0E06-4D82-B66D-B7141252667D}"/>
  </bookViews>
  <sheets>
    <sheet name="ErrorGroups" sheetId="15" r:id="rId1"/>
    <sheet name="ErrorSource" sheetId="14" r:id="rId2"/>
    <sheet name="VarianceP" sheetId="13" r:id="rId3"/>
    <sheet name="Variance" sheetId="12" r:id="rId4"/>
    <sheet name="StandardDeviationP" sheetId="11" r:id="rId5"/>
    <sheet name="StandardDeviation" sheetId="10" r:id="rId6"/>
    <sheet name="Product" sheetId="9" r:id="rId7"/>
    <sheet name="Maximum" sheetId="8" r:id="rId8"/>
    <sheet name="Minimum" sheetId="7" r:id="rId9"/>
    <sheet name="Average" sheetId="6" r:id="rId10"/>
    <sheet name="CountNumbers" sheetId="5" r:id="rId11"/>
    <sheet name="Count" sheetId="4" r:id="rId12"/>
    <sheet name="Sum" sheetId="3" r:id="rId13"/>
    <sheet name="Lookups" sheetId="2" r:id="rId14"/>
    <sheet name="Source" sheetId="1" r:id="rId15"/>
  </sheets>
  <calcPr calcId="191029"/>
  <pivotCaches>
    <pivotCache cacheId="9" r:id="rId16"/>
    <pivotCache cacheId="19" r:id="rId17"/>
    <pivotCache cacheId="29" r:id="rId18"/>
    <pivotCache cacheId="39" r:id="rId19"/>
    <pivotCache cacheId="49" r:id="rId20"/>
    <pivotCache cacheId="59" r:id="rId21"/>
    <pivotCache cacheId="69" r:id="rId22"/>
    <pivotCache cacheId="79" r:id="rId23"/>
    <pivotCache cacheId="89" r:id="rId24"/>
    <pivotCache cacheId="99" r:id="rId25"/>
    <pivotCache cacheId="109" r:id="rId26"/>
    <pivotCache cacheId="117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4" l="1"/>
  <c r="B7" i="14"/>
  <c r="B4" i="14"/>
  <c r="B2" i="14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</calcChain>
</file>

<file path=xl/sharedStrings.xml><?xml version="1.0" encoding="utf-8"?>
<sst xmlns="http://schemas.openxmlformats.org/spreadsheetml/2006/main" count="324" uniqueCount="41">
  <si>
    <t>Region</t>
  </si>
  <si>
    <t>Product</t>
  </si>
  <si>
    <t>Amount</t>
  </si>
  <si>
    <t>Units</t>
  </si>
  <si>
    <t>North</t>
  </si>
  <si>
    <t>A</t>
  </si>
  <si>
    <t>B</t>
  </si>
  <si>
    <t>South</t>
  </si>
  <si>
    <t>West</t>
  </si>
  <si>
    <t>pending</t>
  </si>
  <si>
    <t>Row Labels</t>
  </si>
  <si>
    <t>Grand Total</t>
  </si>
  <si>
    <t>Metric</t>
  </si>
  <si>
    <t>Sum</t>
  </si>
  <si>
    <t>Count</t>
  </si>
  <si>
    <t>CountNumbers</t>
  </si>
  <si>
    <t>Average</t>
  </si>
  <si>
    <t>Minimum</t>
  </si>
  <si>
    <t>Maximum</t>
  </si>
  <si>
    <t>StandardDeviation</t>
  </si>
  <si>
    <t>StandardDeviationP</t>
  </si>
  <si>
    <t>Variance</t>
  </si>
  <si>
    <t>VarianceP</t>
  </si>
  <si>
    <t>Group</t>
  </si>
  <si>
    <t>Error</t>
  </si>
  <si>
    <t>Literal</t>
  </si>
  <si>
    <t>Empty</t>
  </si>
  <si>
    <t>Single</t>
  </si>
  <si>
    <t>Boolean</t>
  </si>
  <si>
    <t>TextNumber</t>
  </si>
  <si>
    <t>Error Sum</t>
  </si>
  <si>
    <t>Error Count</t>
  </si>
  <si>
    <t>Error CountNumbers</t>
  </si>
  <si>
    <t>Error Average</t>
  </si>
  <si>
    <t>Error Minimum</t>
  </si>
  <si>
    <t>Error Maximum</t>
  </si>
  <si>
    <t>Error Product</t>
  </si>
  <si>
    <t>Error StandardDeviation</t>
  </si>
  <si>
    <t>Error StandardDeviationP</t>
  </si>
  <si>
    <t>Error Variance</t>
  </si>
  <si>
    <t>Error VarianceP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</si>
</sst>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26" Type="http://schemas.openxmlformats.org/officeDocument/2006/relationships/pivotCacheDefinition" Target="pivotCache/pivotCacheDefinition1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openxmlformats.org/officeDocument/2006/relationships/pivotCacheDefinition" Target="pivotCache/pivotCacheDefinition10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pivotCacheDefinition" Target="pivotCache/pivotCacheDefinition5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9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8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4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7.xml"/><Relationship Id="rId27" Type="http://schemas.openxmlformats.org/officeDocument/2006/relationships/pivotCacheDefinition" Target="pivotCache/pivotCacheDefinition12.xml"/><Relationship Id="rId30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23495369" createdVersion="6" refreshedVersion="8" minRefreshableVersion="3" recordCount="8" xr:uid="{EC654CDF-298B-4A32-8D2D-9AF44B07CA56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26851848" createdVersion="6" refreshedVersion="8" minRefreshableVersion="3" recordCount="8" xr:uid="{C17783FA-50E3-472C-B617-C60106D8184D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29745373" createdVersion="6" refreshedVersion="8" minRefreshableVersion="3" recordCount="8" xr:uid="{95157866-F6E9-455C-83CC-124D15F37CB3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32523152" createdVersion="6" refreshedVersion="8" minRefreshableVersion="3" recordCount="8" xr:uid="{AD7992FD-5447-4ADF-97EB-1462B64E9061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35416669" createdVersion="6" refreshedVersion="8" minRefreshableVersion="3" recordCount="8" xr:uid="{CFE84EF1-715D-4BD7-A5A7-CEA8CA306733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38078702" createdVersion="6" refreshedVersion="8" minRefreshableVersion="3" recordCount="8" xr:uid="{445239FA-8434-4401-B32A-F433034F75EE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40972219" createdVersion="6" refreshedVersion="8" minRefreshableVersion="3" recordCount="8" xr:uid="{DDBF7E09-4A21-4299-AE72-BB35F912AC66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43865744" createdVersion="6" refreshedVersion="8" minRefreshableVersion="3" recordCount="8" xr:uid="{B8C14259-D530-46C8-A41A-9EB7ED655BD5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46643515" createdVersion="6" refreshedVersion="8" minRefreshableVersion="3" recordCount="8" xr:uid="{CC1C288F-14DE-48E3-BAD4-49FFC591EF2B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49768517" createdVersion="6" refreshedVersion="8" minRefreshableVersion="3" recordCount="8" xr:uid="{CEB37763-E135-4EE0-A1AA-C1D442C3B240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52893519" createdVersion="6" refreshedVersion="8" minRefreshableVersion="3" recordCount="8" xr:uid="{080FBA70-FC61-4B78-AC00-190691DB8BF1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4236273148" createdVersion="6" refreshedVersion="8" minRefreshableVersion="3" recordCount="7" xr:uid="{8E6157AA-EDB4-497D-9C85-20D4462F418C}">
  <cacheSource type="worksheet">
    <worksheetSource ref="A1:B8" sheet="ErrorSource"/>
  </cacheSource>
  <cacheFields count="2">
    <cacheField name="Group" numFmtId="0">
      <sharedItems count="6">
        <s v="Error"/>
        <s v="Literal"/>
        <s v="Empty"/>
        <s v="Single"/>
        <s v="Boolean"/>
        <s v="TextNumber"/>
      </sharedItems>
    </cacheField>
    <cacheField name="Amount" numFmtId="0">
      <sharedItems containsBlank="1" containsMixedTypes="1" containsNumber="1" containsInteger="1" minValue="3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0"/>
    <n v="3"/>
  </r>
  <r>
    <x v="1"/>
    <s v="#N/A"/>
  </r>
  <r>
    <x v="2"/>
    <m/>
  </r>
  <r>
    <x v="3"/>
    <n v="5"/>
  </r>
  <r>
    <x v="4"/>
    <b v="1"/>
  </r>
  <r>
    <x v="5"/>
    <s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3ED12-EB97-4033-BA36-B370326C5347}" name="PivotErrorGroups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1:L8" firstHeaderRow="0" firstDataRow="1" firstDataCol="1"/>
  <pivotFields count="2">
    <pivotField axis="axisRow" showAll="0">
      <items count="7">
        <item x="4"/>
        <item x="2"/>
        <item x="0"/>
        <item x="1"/>
        <item x="3"/>
        <item x="5"/>
        <item t="default"/>
      </items>
    </pivotField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Sum" fld="1" baseField="0" baseItem="0"/>
    <dataField name="Count" fld="1" subtotal="count" baseField="0" baseItem="0"/>
    <dataField name="CountNumbers" fld="1" subtotal="countNums" baseField="0" baseItem="0"/>
    <dataField name="Average" fld="1" subtotal="average" baseField="0" baseItem="0"/>
    <dataField name="Minimum" fld="1" subtotal="min" baseField="0" baseItem="0"/>
    <dataField name="Maximum" fld="1" subtotal="max" baseField="0" baseItem="0"/>
    <dataField name="Product" fld="1" subtotal="product" baseField="0" baseItem="0"/>
    <dataField name="StandardDeviation" fld="1" subtotal="stdDev" baseField="0" baseItem="0"/>
    <dataField name="StandardDeviationP" fld="1" subtotal="stdDevp" baseField="0" baseItem="0"/>
    <dataField name="Variance" fld="1" subtotal="var" baseField="0" baseItem="0"/>
    <dataField name="VarianceP" fld="1" subtotal="varp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24DC0-818E-4B32-9259-9B0A3E7380A4}" name="PivotVarianceP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varp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EE6788-4E48-4756-826C-D22DE0A32B11}" name="PivotVariance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var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06F1A7-B461-4743-9CFE-D92587BF52B4}" name="PivotStandardDeviationP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stdDevp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D4F9BC-356E-4931-B14F-7D7261639FE8}" name="PivotStandardDeviation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stdDev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01C05E-FB9A-4420-B8D2-2560DF194749}" name="PivotProduct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produc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81ADC2-E055-40CC-8C89-6791B5DEF2F1}" name="PivotMaximum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9F2499-03E1-4BE2-B062-9DEE88C54F1D}" name="PivotMinimum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ED442A-AC26-488A-AA05-4D24DAC24685}" name="PivotAverage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41FC6-126A-4FDB-96E9-559D0CC749E4}" name="PivotCountNumbers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countNums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3FE003-897D-467C-97FA-910C8F5A041A}" name="PivotCount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B691EB-639A-4E9D-9D71-49E4618B7942}" name="PivotSum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AD8F6-62AB-480C-97D1-5109E2E2FCDD}">
  <dimension ref="A1:L8"/>
  <sheetViews>
    <sheetView tabSelected="1" workbookViewId="0"/>
  </sheetViews>
  <sheetFormatPr defaultRowHeight="14.5" x14ac:dyDescent="0.35"/>
  <cols>
    <col min="1" max="1" width="12.453125" bestFit="1" customWidth="1"/>
    <col min="2" max="2" width="4.90625" bestFit="1" customWidth="1"/>
    <col min="3" max="3" width="5.90625" bestFit="1" customWidth="1"/>
    <col min="4" max="4" width="13.6328125" bestFit="1" customWidth="1"/>
    <col min="5" max="5" width="7.36328125" bestFit="1" customWidth="1"/>
    <col min="6" max="6" width="8.81640625" bestFit="1" customWidth="1"/>
    <col min="7" max="7" width="9.08984375" bestFit="1" customWidth="1"/>
    <col min="8" max="8" width="7.36328125" bestFit="1" customWidth="1"/>
    <col min="9" max="9" width="16.54296875" bestFit="1" customWidth="1"/>
    <col min="10" max="10" width="17.7265625" bestFit="1" customWidth="1"/>
    <col min="11" max="11" width="8.1796875" bestFit="1" customWidth="1"/>
    <col min="12" max="12" width="9.26953125" bestFit="1" customWidth="1"/>
  </cols>
  <sheetData>
    <row r="1" spans="1:12" x14ac:dyDescent="0.35">
      <c r="A1" s="1" t="s">
        <v>10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</v>
      </c>
      <c r="I1" t="s">
        <v>19</v>
      </c>
      <c r="J1" t="s">
        <v>20</v>
      </c>
      <c r="K1" t="s">
        <v>21</v>
      </c>
      <c r="L1" t="s">
        <v>22</v>
      </c>
    </row>
    <row r="2" spans="1:12" x14ac:dyDescent="0.35">
      <c r="A2" s="2" t="s">
        <v>28</v>
      </c>
      <c r="B2" s="3">
        <v>0</v>
      </c>
      <c r="C2" s="3">
        <v>1</v>
      </c>
      <c r="D2" s="3">
        <v>0</v>
      </c>
      <c r="E2" s="3" t="e">
        <v>#DIV/0!</v>
      </c>
      <c r="F2" s="3">
        <v>0</v>
      </c>
      <c r="G2" s="3">
        <v>0</v>
      </c>
      <c r="H2" s="3">
        <v>0</v>
      </c>
      <c r="I2" s="3" t="e">
        <v>#DIV/0!</v>
      </c>
      <c r="J2" s="3" t="e">
        <v>#DIV/0!</v>
      </c>
      <c r="K2" s="3" t="e">
        <v>#DIV/0!</v>
      </c>
      <c r="L2" s="3" t="e">
        <v>#DIV/0!</v>
      </c>
    </row>
    <row r="3" spans="1:12" x14ac:dyDescent="0.35">
      <c r="A3" s="2" t="s">
        <v>26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x14ac:dyDescent="0.35">
      <c r="A4" s="2" t="s">
        <v>24</v>
      </c>
      <c r="B4" s="3" t="e">
        <v>#N/A</v>
      </c>
      <c r="C4" s="3">
        <v>2</v>
      </c>
      <c r="D4" s="3">
        <v>1</v>
      </c>
      <c r="E4" s="3" t="e">
        <v>#N/A</v>
      </c>
      <c r="F4" s="3" t="e">
        <v>#N/A</v>
      </c>
      <c r="G4" s="3" t="e">
        <v>#N/A</v>
      </c>
      <c r="H4" s="3" t="e">
        <v>#N/A</v>
      </c>
      <c r="I4" s="3" t="e">
        <v>#N/A</v>
      </c>
      <c r="J4" s="3" t="e">
        <v>#N/A</v>
      </c>
      <c r="K4" s="3" t="e">
        <v>#N/A</v>
      </c>
      <c r="L4" s="3" t="e">
        <v>#N/A</v>
      </c>
    </row>
    <row r="5" spans="1:12" x14ac:dyDescent="0.35">
      <c r="A5" s="2" t="s">
        <v>25</v>
      </c>
      <c r="B5" s="3">
        <v>0</v>
      </c>
      <c r="C5" s="3">
        <v>1</v>
      </c>
      <c r="D5" s="3">
        <v>0</v>
      </c>
      <c r="E5" s="3" t="e">
        <v>#DIV/0!</v>
      </c>
      <c r="F5" s="3">
        <v>0</v>
      </c>
      <c r="G5" s="3">
        <v>0</v>
      </c>
      <c r="H5" s="3">
        <v>0</v>
      </c>
      <c r="I5" s="3" t="e">
        <v>#DIV/0!</v>
      </c>
      <c r="J5" s="3" t="e">
        <v>#DIV/0!</v>
      </c>
      <c r="K5" s="3" t="e">
        <v>#DIV/0!</v>
      </c>
      <c r="L5" s="3" t="e">
        <v>#DIV/0!</v>
      </c>
    </row>
    <row r="6" spans="1:12" x14ac:dyDescent="0.35">
      <c r="A6" s="2" t="s">
        <v>27</v>
      </c>
      <c r="B6" s="3">
        <v>5</v>
      </c>
      <c r="C6" s="3">
        <v>1</v>
      </c>
      <c r="D6" s="3">
        <v>1</v>
      </c>
      <c r="E6" s="3">
        <v>5</v>
      </c>
      <c r="F6" s="3">
        <v>5</v>
      </c>
      <c r="G6" s="3">
        <v>5</v>
      </c>
      <c r="H6" s="3">
        <v>5</v>
      </c>
      <c r="I6" s="3" t="e">
        <v>#DIV/0!</v>
      </c>
      <c r="J6" s="3">
        <v>0</v>
      </c>
      <c r="K6" s="3" t="e">
        <v>#DIV/0!</v>
      </c>
      <c r="L6" s="3">
        <v>0</v>
      </c>
    </row>
    <row r="7" spans="1:12" x14ac:dyDescent="0.35">
      <c r="A7" s="2" t="s">
        <v>29</v>
      </c>
      <c r="B7" s="3">
        <v>0</v>
      </c>
      <c r="C7" s="3">
        <v>1</v>
      </c>
      <c r="D7" s="3">
        <v>0</v>
      </c>
      <c r="E7" s="3" t="e">
        <v>#DIV/0!</v>
      </c>
      <c r="F7" s="3">
        <v>0</v>
      </c>
      <c r="G7" s="3">
        <v>0</v>
      </c>
      <c r="H7" s="3">
        <v>0</v>
      </c>
      <c r="I7" s="3" t="e">
        <v>#DIV/0!</v>
      </c>
      <c r="J7" s="3" t="e">
        <v>#DIV/0!</v>
      </c>
      <c r="K7" s="3" t="e">
        <v>#DIV/0!</v>
      </c>
      <c r="L7" s="3" t="e">
        <v>#DIV/0!</v>
      </c>
    </row>
    <row r="8" spans="1:12" x14ac:dyDescent="0.35">
      <c r="A8" s="2" t="s">
        <v>11</v>
      </c>
      <c r="B8" s="3" t="e">
        <v>#N/A</v>
      </c>
      <c r="C8" s="3" t="e">
        <v>#N/A</v>
      </c>
      <c r="D8" s="3" t="e">
        <v>#N/A</v>
      </c>
      <c r="E8" s="3" t="e">
        <v>#N/A</v>
      </c>
      <c r="F8" s="3" t="e">
        <v>#N/A</v>
      </c>
      <c r="G8" s="3" t="e">
        <v>#N/A</v>
      </c>
      <c r="H8" s="3" t="e">
        <v>#N/A</v>
      </c>
      <c r="I8" s="3" t="e">
        <v>#N/A</v>
      </c>
      <c r="J8" s="3" t="e">
        <v>#N/A</v>
      </c>
      <c r="K8" s="3" t="e">
        <v>#N/A</v>
      </c>
      <c r="L8" s="3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F8A0E-5FBA-418D-A0B8-F11B3A5B9901}">
  <dimension ref="A1:B8"/>
  <sheetViews>
    <sheetView workbookViewId="0"/>
  </sheetViews>
  <sheetFormatPr defaultRowHeight="14.5" x14ac:dyDescent="0.35"/>
  <sheetData>
    <row r="1" spans="1:2" x14ac:dyDescent="0.35">
      <c r="A1" t="s">
        <v>23</v>
      </c>
      <c r="B1" t="s">
        <v>2</v>
      </c>
    </row>
    <row r="2" spans="1:2" x14ac:dyDescent="0.35">
      <c r="A2" t="s">
        <v>24</v>
      </c>
      <c r="B2" t="e">
        <f>NA()</f>
        <v>#N/A</v>
      </c>
    </row>
    <row r="3" spans="1:2" x14ac:dyDescent="0.35">
      <c r="A3" t="s">
        <v>24</v>
      </c>
      <c r="B3">
        <v>3</v>
      </c>
    </row>
    <row r="4" spans="1:2" x14ac:dyDescent="0.35">
      <c r="A4" t="s">
        <v>25</v>
      </c>
      <c r="B4" t="str">
        <f>"#N/A"</f>
        <v>#N/A</v>
      </c>
    </row>
    <row r="5" spans="1:2" x14ac:dyDescent="0.35">
      <c r="A5" t="s">
        <v>26</v>
      </c>
    </row>
    <row r="6" spans="1:2" x14ac:dyDescent="0.35">
      <c r="A6" t="s">
        <v>27</v>
      </c>
      <c r="B6">
        <v>5</v>
      </c>
    </row>
    <row r="7" spans="1:2" x14ac:dyDescent="0.35">
      <c r="A7" t="s">
        <v>28</v>
      </c>
      <c r="B7" t="b">
        <f>TRUE()</f>
        <v>1</v>
      </c>
    </row>
    <row r="8" spans="1:2" x14ac:dyDescent="0.35">
      <c r="A8" t="s">
        <v>29</v>
      </c>
      <c r="B8" t="str">
        <f>"12"</f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5ADBC-3C69-4F3C-AAAB-B8C640933A7B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36</v>
      </c>
      <c r="C3" s="3">
        <v>0</v>
      </c>
      <c r="D3" s="3">
        <v>80.888888888888886</v>
      </c>
    </row>
    <row r="4" spans="1:4" x14ac:dyDescent="0.35">
      <c r="A4" t="s">
        <v>7</v>
      </c>
      <c r="B4" s="3">
        <v>0</v>
      </c>
      <c r="C4" s="3">
        <v>0</v>
      </c>
      <c r="D4" s="3">
        <v>25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24.222222222222221</v>
      </c>
      <c r="C6" s="3">
        <v>6.25</v>
      </c>
      <c r="D6" s="3">
        <v>58.64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80C88-EF05-43E4-A70D-6D8C4EE31608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72</v>
      </c>
      <c r="C3" s="3" t="e">
        <v>#DIV/0!</v>
      </c>
      <c r="D3" s="3">
        <v>121.33333333333334</v>
      </c>
    </row>
    <row r="4" spans="1:4" x14ac:dyDescent="0.35">
      <c r="A4" t="s">
        <v>7</v>
      </c>
      <c r="B4" s="3" t="e">
        <v>#DIV/0!</v>
      </c>
      <c r="C4" s="3" t="e">
        <v>#DIV/0!</v>
      </c>
      <c r="D4" s="3">
        <v>50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36.333333333333329</v>
      </c>
      <c r="C6" s="3">
        <v>12.5</v>
      </c>
      <c r="D6" s="3">
        <v>73.3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BF7C-EB7E-4C4F-AC4B-5DF9679CC1A3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6</v>
      </c>
      <c r="C3" s="3">
        <v>0</v>
      </c>
      <c r="D3" s="3">
        <v>8.9938250421546933</v>
      </c>
    </row>
    <row r="4" spans="1:4" x14ac:dyDescent="0.35">
      <c r="A4" t="s">
        <v>7</v>
      </c>
      <c r="B4" s="3">
        <v>0</v>
      </c>
      <c r="C4" s="3">
        <v>0</v>
      </c>
      <c r="D4" s="3">
        <v>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4.9216076867444665</v>
      </c>
      <c r="C6" s="3">
        <v>2.5</v>
      </c>
      <c r="D6" s="3">
        <v>7.657675887630659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4FB7E-517A-4DE3-92F6-D29DF1779CB8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8.4852813742385695</v>
      </c>
      <c r="C3" s="3" t="e">
        <v>#DIV/0!</v>
      </c>
      <c r="D3" s="3">
        <v>11.015141094572204</v>
      </c>
    </row>
    <row r="4" spans="1:4" x14ac:dyDescent="0.35">
      <c r="A4" t="s">
        <v>7</v>
      </c>
      <c r="B4" s="3" t="e">
        <v>#DIV/0!</v>
      </c>
      <c r="C4" s="3" t="e">
        <v>#DIV/0!</v>
      </c>
      <c r="D4" s="3">
        <v>7.0710678118654755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6.0277137733417074</v>
      </c>
      <c r="C6" s="3">
        <v>3.5355339059327378</v>
      </c>
      <c r="D6" s="3">
        <v>8.5615419172015965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88652-4A67-4FFF-A9F7-4E046658B2B5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-20</v>
      </c>
      <c r="C3" s="3">
        <v>20</v>
      </c>
      <c r="D3" s="3">
        <v>-400</v>
      </c>
    </row>
    <row r="4" spans="1:4" x14ac:dyDescent="0.35">
      <c r="A4" t="s">
        <v>7</v>
      </c>
      <c r="B4" s="3">
        <v>5</v>
      </c>
      <c r="C4" s="3">
        <v>15</v>
      </c>
      <c r="D4" s="3">
        <v>75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-100</v>
      </c>
      <c r="C6" s="3">
        <v>300</v>
      </c>
      <c r="D6" s="3">
        <v>-30000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C1507-5EE3-40C8-9BC8-FF5EE9058D21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10</v>
      </c>
      <c r="C3" s="3">
        <v>20</v>
      </c>
      <c r="D3" s="3">
        <v>20</v>
      </c>
    </row>
    <row r="4" spans="1:4" x14ac:dyDescent="0.35">
      <c r="A4" t="s">
        <v>7</v>
      </c>
      <c r="B4" s="3">
        <v>5</v>
      </c>
      <c r="C4" s="3">
        <v>15</v>
      </c>
      <c r="D4" s="3">
        <v>15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10</v>
      </c>
      <c r="C6" s="3">
        <v>20</v>
      </c>
      <c r="D6" s="3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69F01-3792-4A85-A7B4-6342AEB56B90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-2</v>
      </c>
      <c r="C3" s="3">
        <v>20</v>
      </c>
      <c r="D3" s="3">
        <v>-2</v>
      </c>
    </row>
    <row r="4" spans="1:4" x14ac:dyDescent="0.35">
      <c r="A4" t="s">
        <v>7</v>
      </c>
      <c r="B4" s="3">
        <v>5</v>
      </c>
      <c r="C4" s="3">
        <v>15</v>
      </c>
      <c r="D4" s="3">
        <v>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-2</v>
      </c>
      <c r="C6" s="3">
        <v>15</v>
      </c>
      <c r="D6" s="3">
        <v>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5CBA8-B00C-455F-BC70-F74F9C8037B9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4</v>
      </c>
      <c r="C3" s="3">
        <v>20</v>
      </c>
      <c r="D3" s="3">
        <v>9.3333333333333339</v>
      </c>
    </row>
    <row r="4" spans="1:4" x14ac:dyDescent="0.35">
      <c r="A4" t="s">
        <v>7</v>
      </c>
      <c r="B4" s="3">
        <v>5</v>
      </c>
      <c r="C4" s="3">
        <v>15</v>
      </c>
      <c r="D4" s="3">
        <v>10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4.333333333333333</v>
      </c>
      <c r="C6" s="3">
        <v>17.5</v>
      </c>
      <c r="D6" s="3">
        <v>9.6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201A4-A715-45BB-9AB4-F08863B2D38C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2</v>
      </c>
      <c r="C3" s="3">
        <v>1</v>
      </c>
      <c r="D3" s="3">
        <v>3</v>
      </c>
    </row>
    <row r="4" spans="1:4" x14ac:dyDescent="0.35">
      <c r="A4" t="s">
        <v>7</v>
      </c>
      <c r="B4" s="3">
        <v>1</v>
      </c>
      <c r="C4" s="3">
        <v>1</v>
      </c>
      <c r="D4" s="3">
        <v>2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3</v>
      </c>
      <c r="C6" s="3">
        <v>2</v>
      </c>
      <c r="D6" s="3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0FAC-96ED-4C73-88D0-9865387979FF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2</v>
      </c>
      <c r="C3" s="3">
        <v>2</v>
      </c>
      <c r="D3" s="3">
        <v>4</v>
      </c>
    </row>
    <row r="4" spans="1:4" x14ac:dyDescent="0.35">
      <c r="A4" t="s">
        <v>7</v>
      </c>
      <c r="B4" s="3">
        <v>2</v>
      </c>
      <c r="C4" s="3">
        <v>1</v>
      </c>
      <c r="D4" s="3">
        <v>3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4</v>
      </c>
      <c r="C6" s="3">
        <v>3</v>
      </c>
      <c r="D6" s="3">
        <v>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8E859-1CC4-4BF3-9D1A-2989317D2CE0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12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8</v>
      </c>
      <c r="C3" s="3">
        <v>20</v>
      </c>
      <c r="D3" s="3">
        <v>28</v>
      </c>
    </row>
    <row r="4" spans="1:4" x14ac:dyDescent="0.35">
      <c r="A4" t="s">
        <v>7</v>
      </c>
      <c r="B4" s="3">
        <v>5</v>
      </c>
      <c r="C4" s="3">
        <v>15</v>
      </c>
      <c r="D4" s="3">
        <v>20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13</v>
      </c>
      <c r="C6" s="3">
        <v>35</v>
      </c>
      <c r="D6" s="3">
        <v>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04004-D731-4F29-9267-9EA3C443DA9E}">
  <dimension ref="A1:B165"/>
  <sheetViews>
    <sheetView workbookViewId="0"/>
  </sheetViews>
  <sheetFormatPr defaultRowHeight="14.5" x14ac:dyDescent="0.35"/>
  <sheetData>
    <row r="1" spans="1:2" x14ac:dyDescent="0.35">
      <c r="A1" t="s">
        <v>13</v>
      </c>
      <c r="B1">
        <f>GETPIVOTDATA("Metric",Sum!A1)</f>
        <v>48</v>
      </c>
    </row>
    <row r="2" spans="1:2" x14ac:dyDescent="0.35">
      <c r="A2" t="s">
        <v>13</v>
      </c>
      <c r="B2">
        <f>GETPIVOTDATA("Metric",Sum!A1,"Region","North")</f>
        <v>28</v>
      </c>
    </row>
    <row r="3" spans="1:2" x14ac:dyDescent="0.35">
      <c r="A3" t="s">
        <v>13</v>
      </c>
      <c r="B3">
        <f>GETPIVOTDATA("Metric",Sum!A1,"Region","South")</f>
        <v>20</v>
      </c>
    </row>
    <row r="4" spans="1:2" x14ac:dyDescent="0.35">
      <c r="A4" t="s">
        <v>13</v>
      </c>
      <c r="B4">
        <f>GETPIVOTDATA("Metric",Sum!A1,"Region","West")</f>
        <v>0</v>
      </c>
    </row>
    <row r="5" spans="1:2" x14ac:dyDescent="0.35">
      <c r="A5" t="s">
        <v>13</v>
      </c>
      <c r="B5">
        <f>GETPIVOTDATA("Metric",Sum!A1,"Product","A")</f>
        <v>13</v>
      </c>
    </row>
    <row r="6" spans="1:2" x14ac:dyDescent="0.35">
      <c r="A6" t="s">
        <v>13</v>
      </c>
      <c r="B6">
        <f>GETPIVOTDATA("Metric",Sum!A1,"Product","B")</f>
        <v>35</v>
      </c>
    </row>
    <row r="7" spans="1:2" x14ac:dyDescent="0.35">
      <c r="A7" t="s">
        <v>13</v>
      </c>
      <c r="B7">
        <f>GETPIVOTDATA("Metric",Sum!A1,"Region","North","Product","A")</f>
        <v>8</v>
      </c>
    </row>
    <row r="8" spans="1:2" x14ac:dyDescent="0.35">
      <c r="A8" t="s">
        <v>13</v>
      </c>
      <c r="B8">
        <f>GETPIVOTDATA("Metric",Sum!A1,"Region","South","Product","B")</f>
        <v>15</v>
      </c>
    </row>
    <row r="9" spans="1:2" x14ac:dyDescent="0.35">
      <c r="A9" t="s">
        <v>13</v>
      </c>
      <c r="B9" t="e">
        <f>GETPIVOTDATA("Metric",Sum!A1,"Region","missing")</f>
        <v>#REF!</v>
      </c>
    </row>
    <row r="10" spans="1:2" x14ac:dyDescent="0.35">
      <c r="A10" t="s">
        <v>14</v>
      </c>
      <c r="B10">
        <f>GETPIVOTDATA("Metric",Count!A1)</f>
        <v>7</v>
      </c>
    </row>
    <row r="11" spans="1:2" x14ac:dyDescent="0.35">
      <c r="A11" t="s">
        <v>14</v>
      </c>
      <c r="B11">
        <f>GETPIVOTDATA("Metric",Count!A1,"Region","North")</f>
        <v>4</v>
      </c>
    </row>
    <row r="12" spans="1:2" x14ac:dyDescent="0.35">
      <c r="A12" t="s">
        <v>14</v>
      </c>
      <c r="B12">
        <f>GETPIVOTDATA("Metric",Count!A1,"Region","South")</f>
        <v>3</v>
      </c>
    </row>
    <row r="13" spans="1:2" x14ac:dyDescent="0.35">
      <c r="A13" t="s">
        <v>14</v>
      </c>
      <c r="B13">
        <f>GETPIVOTDATA("Metric",Count!A1,"Region","West")</f>
        <v>0</v>
      </c>
    </row>
    <row r="14" spans="1:2" x14ac:dyDescent="0.35">
      <c r="A14" t="s">
        <v>14</v>
      </c>
      <c r="B14">
        <f>GETPIVOTDATA("Metric",Count!A1,"Product","A")</f>
        <v>4</v>
      </c>
    </row>
    <row r="15" spans="1:2" x14ac:dyDescent="0.35">
      <c r="A15" t="s">
        <v>14</v>
      </c>
      <c r="B15">
        <f>GETPIVOTDATA("Metric",Count!A1,"Product","B")</f>
        <v>3</v>
      </c>
    </row>
    <row r="16" spans="1:2" x14ac:dyDescent="0.35">
      <c r="A16" t="s">
        <v>14</v>
      </c>
      <c r="B16">
        <f>GETPIVOTDATA("Metric",Count!A1,"Region","North","Product","A")</f>
        <v>2</v>
      </c>
    </row>
    <row r="17" spans="1:2" x14ac:dyDescent="0.35">
      <c r="A17" t="s">
        <v>14</v>
      </c>
      <c r="B17">
        <f>GETPIVOTDATA("Metric",Count!A1,"Region","South","Product","B")</f>
        <v>1</v>
      </c>
    </row>
    <row r="18" spans="1:2" x14ac:dyDescent="0.35">
      <c r="A18" t="s">
        <v>14</v>
      </c>
      <c r="B18" t="e">
        <f>GETPIVOTDATA("Metric",Count!A1,"Region","missing")</f>
        <v>#REF!</v>
      </c>
    </row>
    <row r="19" spans="1:2" x14ac:dyDescent="0.35">
      <c r="A19" t="s">
        <v>15</v>
      </c>
      <c r="B19">
        <f>GETPIVOTDATA("Metric",CountNumbers!A1)</f>
        <v>5</v>
      </c>
    </row>
    <row r="20" spans="1:2" x14ac:dyDescent="0.35">
      <c r="A20" t="s">
        <v>15</v>
      </c>
      <c r="B20">
        <f>GETPIVOTDATA("Metric",CountNumbers!A1,"Region","North")</f>
        <v>3</v>
      </c>
    </row>
    <row r="21" spans="1:2" x14ac:dyDescent="0.35">
      <c r="A21" t="s">
        <v>15</v>
      </c>
      <c r="B21">
        <f>GETPIVOTDATA("Metric",CountNumbers!A1,"Region","South")</f>
        <v>2</v>
      </c>
    </row>
    <row r="22" spans="1:2" x14ac:dyDescent="0.35">
      <c r="A22" t="s">
        <v>15</v>
      </c>
      <c r="B22">
        <f>GETPIVOTDATA("Metric",CountNumbers!A1,"Region","West")</f>
        <v>0</v>
      </c>
    </row>
    <row r="23" spans="1:2" x14ac:dyDescent="0.35">
      <c r="A23" t="s">
        <v>15</v>
      </c>
      <c r="B23">
        <f>GETPIVOTDATA("Metric",CountNumbers!A1,"Product","A")</f>
        <v>3</v>
      </c>
    </row>
    <row r="24" spans="1:2" x14ac:dyDescent="0.35">
      <c r="A24" t="s">
        <v>15</v>
      </c>
      <c r="B24">
        <f>GETPIVOTDATA("Metric",CountNumbers!A1,"Product","B")</f>
        <v>2</v>
      </c>
    </row>
    <row r="25" spans="1:2" x14ac:dyDescent="0.35">
      <c r="A25" t="s">
        <v>15</v>
      </c>
      <c r="B25">
        <f>GETPIVOTDATA("Metric",CountNumbers!A1,"Region","North","Product","A")</f>
        <v>2</v>
      </c>
    </row>
    <row r="26" spans="1:2" x14ac:dyDescent="0.35">
      <c r="A26" t="s">
        <v>15</v>
      </c>
      <c r="B26">
        <f>GETPIVOTDATA("Metric",CountNumbers!A1,"Region","South","Product","B")</f>
        <v>1</v>
      </c>
    </row>
    <row r="27" spans="1:2" x14ac:dyDescent="0.35">
      <c r="A27" t="s">
        <v>15</v>
      </c>
      <c r="B27" t="e">
        <f>GETPIVOTDATA("Metric",CountNumbers!A1,"Region","missing")</f>
        <v>#REF!</v>
      </c>
    </row>
    <row r="28" spans="1:2" x14ac:dyDescent="0.35">
      <c r="A28" t="s">
        <v>16</v>
      </c>
      <c r="B28">
        <f>GETPIVOTDATA("Metric",Average!A1)</f>
        <v>9.6</v>
      </c>
    </row>
    <row r="29" spans="1:2" x14ac:dyDescent="0.35">
      <c r="A29" t="s">
        <v>16</v>
      </c>
      <c r="B29">
        <f>GETPIVOTDATA("Metric",Average!A1,"Region","North")</f>
        <v>9.3333333333333339</v>
      </c>
    </row>
    <row r="30" spans="1:2" x14ac:dyDescent="0.35">
      <c r="A30" t="s">
        <v>16</v>
      </c>
      <c r="B30">
        <f>GETPIVOTDATA("Metric",Average!A1,"Region","South")</f>
        <v>10</v>
      </c>
    </row>
    <row r="31" spans="1:2" x14ac:dyDescent="0.35">
      <c r="A31" t="s">
        <v>16</v>
      </c>
      <c r="B31">
        <f>GETPIVOTDATA("Metric",Average!A1,"Region","West")</f>
        <v>0</v>
      </c>
    </row>
    <row r="32" spans="1:2" x14ac:dyDescent="0.35">
      <c r="A32" t="s">
        <v>16</v>
      </c>
      <c r="B32">
        <f>GETPIVOTDATA("Metric",Average!A1,"Product","A")</f>
        <v>4.333333333333333</v>
      </c>
    </row>
    <row r="33" spans="1:2" x14ac:dyDescent="0.35">
      <c r="A33" t="s">
        <v>16</v>
      </c>
      <c r="B33">
        <f>GETPIVOTDATA("Metric",Average!A1,"Product","B")</f>
        <v>17.5</v>
      </c>
    </row>
    <row r="34" spans="1:2" x14ac:dyDescent="0.35">
      <c r="A34" t="s">
        <v>16</v>
      </c>
      <c r="B34">
        <f>GETPIVOTDATA("Metric",Average!A1,"Region","North","Product","A")</f>
        <v>4</v>
      </c>
    </row>
    <row r="35" spans="1:2" x14ac:dyDescent="0.35">
      <c r="A35" t="s">
        <v>16</v>
      </c>
      <c r="B35">
        <f>GETPIVOTDATA("Metric",Average!A1,"Region","South","Product","B")</f>
        <v>15</v>
      </c>
    </row>
    <row r="36" spans="1:2" x14ac:dyDescent="0.35">
      <c r="A36" t="s">
        <v>16</v>
      </c>
      <c r="B36" t="e">
        <f>GETPIVOTDATA("Metric",Average!A1,"Region","missing")</f>
        <v>#REF!</v>
      </c>
    </row>
    <row r="37" spans="1:2" x14ac:dyDescent="0.35">
      <c r="A37" t="s">
        <v>17</v>
      </c>
      <c r="B37">
        <f>GETPIVOTDATA("Metric",Minimum!A1)</f>
        <v>-2</v>
      </c>
    </row>
    <row r="38" spans="1:2" x14ac:dyDescent="0.35">
      <c r="A38" t="s">
        <v>17</v>
      </c>
      <c r="B38">
        <f>GETPIVOTDATA("Metric",Minimum!A1,"Region","North")</f>
        <v>-2</v>
      </c>
    </row>
    <row r="39" spans="1:2" x14ac:dyDescent="0.35">
      <c r="A39" t="s">
        <v>17</v>
      </c>
      <c r="B39">
        <f>GETPIVOTDATA("Metric",Minimum!A1,"Region","South")</f>
        <v>5</v>
      </c>
    </row>
    <row r="40" spans="1:2" x14ac:dyDescent="0.35">
      <c r="A40" t="s">
        <v>17</v>
      </c>
      <c r="B40">
        <f>GETPIVOTDATA("Metric",Minimum!A1,"Region","West")</f>
        <v>0</v>
      </c>
    </row>
    <row r="41" spans="1:2" x14ac:dyDescent="0.35">
      <c r="A41" t="s">
        <v>17</v>
      </c>
      <c r="B41">
        <f>GETPIVOTDATA("Metric",Minimum!A1,"Product","A")</f>
        <v>-2</v>
      </c>
    </row>
    <row r="42" spans="1:2" x14ac:dyDescent="0.35">
      <c r="A42" t="s">
        <v>17</v>
      </c>
      <c r="B42">
        <f>GETPIVOTDATA("Metric",Minimum!A1,"Product","B")</f>
        <v>15</v>
      </c>
    </row>
    <row r="43" spans="1:2" x14ac:dyDescent="0.35">
      <c r="A43" t="s">
        <v>17</v>
      </c>
      <c r="B43">
        <f>GETPIVOTDATA("Metric",Minimum!A1,"Region","North","Product","A")</f>
        <v>-2</v>
      </c>
    </row>
    <row r="44" spans="1:2" x14ac:dyDescent="0.35">
      <c r="A44" t="s">
        <v>17</v>
      </c>
      <c r="B44">
        <f>GETPIVOTDATA("Metric",Minimum!A1,"Region","South","Product","B")</f>
        <v>15</v>
      </c>
    </row>
    <row r="45" spans="1:2" x14ac:dyDescent="0.35">
      <c r="A45" t="s">
        <v>17</v>
      </c>
      <c r="B45" t="e">
        <f>GETPIVOTDATA("Metric",Minimum!A1,"Region","missing")</f>
        <v>#REF!</v>
      </c>
    </row>
    <row r="46" spans="1:2" x14ac:dyDescent="0.35">
      <c r="A46" t="s">
        <v>18</v>
      </c>
      <c r="B46">
        <f>GETPIVOTDATA("Metric",Maximum!A1)</f>
        <v>20</v>
      </c>
    </row>
    <row r="47" spans="1:2" x14ac:dyDescent="0.35">
      <c r="A47" t="s">
        <v>18</v>
      </c>
      <c r="B47">
        <f>GETPIVOTDATA("Metric",Maximum!A1,"Region","North")</f>
        <v>20</v>
      </c>
    </row>
    <row r="48" spans="1:2" x14ac:dyDescent="0.35">
      <c r="A48" t="s">
        <v>18</v>
      </c>
      <c r="B48">
        <f>GETPIVOTDATA("Metric",Maximum!A1,"Region","South")</f>
        <v>15</v>
      </c>
    </row>
    <row r="49" spans="1:2" x14ac:dyDescent="0.35">
      <c r="A49" t="s">
        <v>18</v>
      </c>
      <c r="B49">
        <f>GETPIVOTDATA("Metric",Maximum!A1,"Region","West")</f>
        <v>0</v>
      </c>
    </row>
    <row r="50" spans="1:2" x14ac:dyDescent="0.35">
      <c r="A50" t="s">
        <v>18</v>
      </c>
      <c r="B50">
        <f>GETPIVOTDATA("Metric",Maximum!A1,"Product","A")</f>
        <v>10</v>
      </c>
    </row>
    <row r="51" spans="1:2" x14ac:dyDescent="0.35">
      <c r="A51" t="s">
        <v>18</v>
      </c>
      <c r="B51">
        <f>GETPIVOTDATA("Metric",Maximum!A1,"Product","B")</f>
        <v>20</v>
      </c>
    </row>
    <row r="52" spans="1:2" x14ac:dyDescent="0.35">
      <c r="A52" t="s">
        <v>18</v>
      </c>
      <c r="B52">
        <f>GETPIVOTDATA("Metric",Maximum!A1,"Region","North","Product","A")</f>
        <v>10</v>
      </c>
    </row>
    <row r="53" spans="1:2" x14ac:dyDescent="0.35">
      <c r="A53" t="s">
        <v>18</v>
      </c>
      <c r="B53">
        <f>GETPIVOTDATA("Metric",Maximum!A1,"Region","South","Product","B")</f>
        <v>15</v>
      </c>
    </row>
    <row r="54" spans="1:2" x14ac:dyDescent="0.35">
      <c r="A54" t="s">
        <v>18</v>
      </c>
      <c r="B54" t="e">
        <f>GETPIVOTDATA("Metric",Maximum!A1,"Region","missing")</f>
        <v>#REF!</v>
      </c>
    </row>
    <row r="55" spans="1:2" x14ac:dyDescent="0.35">
      <c r="A55" t="s">
        <v>1</v>
      </c>
      <c r="B55">
        <f>GETPIVOTDATA("Metric",Product!A1)</f>
        <v>-30000</v>
      </c>
    </row>
    <row r="56" spans="1:2" x14ac:dyDescent="0.35">
      <c r="A56" t="s">
        <v>1</v>
      </c>
      <c r="B56">
        <f>GETPIVOTDATA("Metric",Product!A1,"Region","North")</f>
        <v>-400</v>
      </c>
    </row>
    <row r="57" spans="1:2" x14ac:dyDescent="0.35">
      <c r="A57" t="s">
        <v>1</v>
      </c>
      <c r="B57">
        <f>GETPIVOTDATA("Metric",Product!A1,"Region","South")</f>
        <v>75</v>
      </c>
    </row>
    <row r="58" spans="1:2" x14ac:dyDescent="0.35">
      <c r="A58" t="s">
        <v>1</v>
      </c>
      <c r="B58">
        <f>GETPIVOTDATA("Metric",Product!A1,"Region","West")</f>
        <v>0</v>
      </c>
    </row>
    <row r="59" spans="1:2" x14ac:dyDescent="0.35">
      <c r="A59" t="s">
        <v>1</v>
      </c>
      <c r="B59">
        <f>GETPIVOTDATA("Metric",Product!A1,"Product","A")</f>
        <v>-100</v>
      </c>
    </row>
    <row r="60" spans="1:2" x14ac:dyDescent="0.35">
      <c r="A60" t="s">
        <v>1</v>
      </c>
      <c r="B60">
        <f>GETPIVOTDATA("Metric",Product!A1,"Product","B")</f>
        <v>300</v>
      </c>
    </row>
    <row r="61" spans="1:2" x14ac:dyDescent="0.35">
      <c r="A61" t="s">
        <v>1</v>
      </c>
      <c r="B61">
        <f>GETPIVOTDATA("Metric",Product!A1,"Region","North","Product","A")</f>
        <v>-20</v>
      </c>
    </row>
    <row r="62" spans="1:2" x14ac:dyDescent="0.35">
      <c r="A62" t="s">
        <v>1</v>
      </c>
      <c r="B62">
        <f>GETPIVOTDATA("Metric",Product!A1,"Region","South","Product","B")</f>
        <v>15</v>
      </c>
    </row>
    <row r="63" spans="1:2" x14ac:dyDescent="0.35">
      <c r="A63" t="s">
        <v>1</v>
      </c>
      <c r="B63" t="e">
        <f>GETPIVOTDATA("Metric",Product!A1,"Region","missing")</f>
        <v>#REF!</v>
      </c>
    </row>
    <row r="64" spans="1:2" x14ac:dyDescent="0.35">
      <c r="A64" t="s">
        <v>19</v>
      </c>
      <c r="B64">
        <f>GETPIVOTDATA("Metric",StandardDeviation!A1)</f>
        <v>8.5615419172015965</v>
      </c>
    </row>
    <row r="65" spans="1:2" x14ac:dyDescent="0.35">
      <c r="A65" t="s">
        <v>19</v>
      </c>
      <c r="B65">
        <f>GETPIVOTDATA("Metric",StandardDeviation!A1,"Region","North")</f>
        <v>11.015141094572204</v>
      </c>
    </row>
    <row r="66" spans="1:2" x14ac:dyDescent="0.35">
      <c r="A66" t="s">
        <v>19</v>
      </c>
      <c r="B66">
        <f>GETPIVOTDATA("Metric",StandardDeviation!A1,"Region","South")</f>
        <v>7.0710678118654755</v>
      </c>
    </row>
    <row r="67" spans="1:2" x14ac:dyDescent="0.35">
      <c r="A67" t="s">
        <v>19</v>
      </c>
      <c r="B67">
        <f>GETPIVOTDATA("Metric",StandardDeviation!A1,"Region","West")</f>
        <v>0</v>
      </c>
    </row>
    <row r="68" spans="1:2" x14ac:dyDescent="0.35">
      <c r="A68" t="s">
        <v>19</v>
      </c>
      <c r="B68">
        <f>GETPIVOTDATA("Metric",StandardDeviation!A1,"Product","A")</f>
        <v>6.0277137733417074</v>
      </c>
    </row>
    <row r="69" spans="1:2" x14ac:dyDescent="0.35">
      <c r="A69" t="s">
        <v>19</v>
      </c>
      <c r="B69">
        <f>GETPIVOTDATA("Metric",StandardDeviation!A1,"Product","B")</f>
        <v>3.5355339059327378</v>
      </c>
    </row>
    <row r="70" spans="1:2" x14ac:dyDescent="0.35">
      <c r="A70" t="s">
        <v>19</v>
      </c>
      <c r="B70">
        <f>GETPIVOTDATA("Metric",StandardDeviation!A1,"Region","North","Product","A")</f>
        <v>8.4852813742385695</v>
      </c>
    </row>
    <row r="71" spans="1:2" x14ac:dyDescent="0.35">
      <c r="A71" t="s">
        <v>19</v>
      </c>
      <c r="B71" t="e">
        <f>GETPIVOTDATA("Metric",StandardDeviation!A1,"Region","South","Product","B")</f>
        <v>#DIV/0!</v>
      </c>
    </row>
    <row r="72" spans="1:2" x14ac:dyDescent="0.35">
      <c r="A72" t="s">
        <v>19</v>
      </c>
      <c r="B72" t="e">
        <f>GETPIVOTDATA("Metric",StandardDeviation!A1,"Region","missing")</f>
        <v>#REF!</v>
      </c>
    </row>
    <row r="73" spans="1:2" x14ac:dyDescent="0.35">
      <c r="A73" t="s">
        <v>20</v>
      </c>
      <c r="B73">
        <f>GETPIVOTDATA("Metric",StandardDeviationP!A1)</f>
        <v>7.657675887630659</v>
      </c>
    </row>
    <row r="74" spans="1:2" x14ac:dyDescent="0.35">
      <c r="A74" t="s">
        <v>20</v>
      </c>
      <c r="B74">
        <f>GETPIVOTDATA("Metric",StandardDeviationP!A1,"Region","North")</f>
        <v>8.9938250421546933</v>
      </c>
    </row>
    <row r="75" spans="1:2" x14ac:dyDescent="0.35">
      <c r="A75" t="s">
        <v>20</v>
      </c>
      <c r="B75">
        <f>GETPIVOTDATA("Metric",StandardDeviationP!A1,"Region","South")</f>
        <v>5</v>
      </c>
    </row>
    <row r="76" spans="1:2" x14ac:dyDescent="0.35">
      <c r="A76" t="s">
        <v>20</v>
      </c>
      <c r="B76">
        <f>GETPIVOTDATA("Metric",StandardDeviationP!A1,"Region","West")</f>
        <v>0</v>
      </c>
    </row>
    <row r="77" spans="1:2" x14ac:dyDescent="0.35">
      <c r="A77" t="s">
        <v>20</v>
      </c>
      <c r="B77">
        <f>GETPIVOTDATA("Metric",StandardDeviationP!A1,"Product","A")</f>
        <v>4.9216076867444665</v>
      </c>
    </row>
    <row r="78" spans="1:2" x14ac:dyDescent="0.35">
      <c r="A78" t="s">
        <v>20</v>
      </c>
      <c r="B78">
        <f>GETPIVOTDATA("Metric",StandardDeviationP!A1,"Product","B")</f>
        <v>2.5</v>
      </c>
    </row>
    <row r="79" spans="1:2" x14ac:dyDescent="0.35">
      <c r="A79" t="s">
        <v>20</v>
      </c>
      <c r="B79">
        <f>GETPIVOTDATA("Metric",StandardDeviationP!A1,"Region","North","Product","A")</f>
        <v>6</v>
      </c>
    </row>
    <row r="80" spans="1:2" x14ac:dyDescent="0.35">
      <c r="A80" t="s">
        <v>20</v>
      </c>
      <c r="B80">
        <f>GETPIVOTDATA("Metric",StandardDeviationP!A1,"Region","South","Product","B")</f>
        <v>0</v>
      </c>
    </row>
    <row r="81" spans="1:2" x14ac:dyDescent="0.35">
      <c r="A81" t="s">
        <v>20</v>
      </c>
      <c r="B81" t="e">
        <f>GETPIVOTDATA("Metric",StandardDeviationP!A1,"Region","missing")</f>
        <v>#REF!</v>
      </c>
    </row>
    <row r="82" spans="1:2" x14ac:dyDescent="0.35">
      <c r="A82" t="s">
        <v>21</v>
      </c>
      <c r="B82">
        <f>GETPIVOTDATA("Metric",Variance!A1)</f>
        <v>73.3</v>
      </c>
    </row>
    <row r="83" spans="1:2" x14ac:dyDescent="0.35">
      <c r="A83" t="s">
        <v>21</v>
      </c>
      <c r="B83">
        <f>GETPIVOTDATA("Metric",Variance!A1,"Region","North")</f>
        <v>121.33333333333334</v>
      </c>
    </row>
    <row r="84" spans="1:2" x14ac:dyDescent="0.35">
      <c r="A84" t="s">
        <v>21</v>
      </c>
      <c r="B84">
        <f>GETPIVOTDATA("Metric",Variance!A1,"Region","South")</f>
        <v>50</v>
      </c>
    </row>
    <row r="85" spans="1:2" x14ac:dyDescent="0.35">
      <c r="A85" t="s">
        <v>21</v>
      </c>
      <c r="B85">
        <f>GETPIVOTDATA("Metric",Variance!A1,"Region","West")</f>
        <v>0</v>
      </c>
    </row>
    <row r="86" spans="1:2" x14ac:dyDescent="0.35">
      <c r="A86" t="s">
        <v>21</v>
      </c>
      <c r="B86">
        <f>GETPIVOTDATA("Metric",Variance!A1,"Product","A")</f>
        <v>36.333333333333329</v>
      </c>
    </row>
    <row r="87" spans="1:2" x14ac:dyDescent="0.35">
      <c r="A87" t="s">
        <v>21</v>
      </c>
      <c r="B87">
        <f>GETPIVOTDATA("Metric",Variance!A1,"Product","B")</f>
        <v>12.5</v>
      </c>
    </row>
    <row r="88" spans="1:2" x14ac:dyDescent="0.35">
      <c r="A88" t="s">
        <v>21</v>
      </c>
      <c r="B88">
        <f>GETPIVOTDATA("Metric",Variance!A1,"Region","North","Product","A")</f>
        <v>72</v>
      </c>
    </row>
    <row r="89" spans="1:2" x14ac:dyDescent="0.35">
      <c r="A89" t="s">
        <v>21</v>
      </c>
      <c r="B89" t="e">
        <f>GETPIVOTDATA("Metric",Variance!A1,"Region","South","Product","B")</f>
        <v>#DIV/0!</v>
      </c>
    </row>
    <row r="90" spans="1:2" x14ac:dyDescent="0.35">
      <c r="A90" t="s">
        <v>21</v>
      </c>
      <c r="B90" t="e">
        <f>GETPIVOTDATA("Metric",Variance!A1,"Region","missing")</f>
        <v>#REF!</v>
      </c>
    </row>
    <row r="91" spans="1:2" x14ac:dyDescent="0.35">
      <c r="A91" t="s">
        <v>22</v>
      </c>
      <c r="B91">
        <f>GETPIVOTDATA("Metric",VarianceP!A1)</f>
        <v>58.64</v>
      </c>
    </row>
    <row r="92" spans="1:2" x14ac:dyDescent="0.35">
      <c r="A92" t="s">
        <v>22</v>
      </c>
      <c r="B92">
        <f>GETPIVOTDATA("Metric",VarianceP!A1,"Region","North")</f>
        <v>80.888888888888886</v>
      </c>
    </row>
    <row r="93" spans="1:2" x14ac:dyDescent="0.35">
      <c r="A93" t="s">
        <v>22</v>
      </c>
      <c r="B93">
        <f>GETPIVOTDATA("Metric",VarianceP!A1,"Region","South")</f>
        <v>25</v>
      </c>
    </row>
    <row r="94" spans="1:2" x14ac:dyDescent="0.35">
      <c r="A94" t="s">
        <v>22</v>
      </c>
      <c r="B94">
        <f>GETPIVOTDATA("Metric",VarianceP!A1,"Region","West")</f>
        <v>0</v>
      </c>
    </row>
    <row r="95" spans="1:2" x14ac:dyDescent="0.35">
      <c r="A95" t="s">
        <v>22</v>
      </c>
      <c r="B95">
        <f>GETPIVOTDATA("Metric",VarianceP!A1,"Product","A")</f>
        <v>24.222222222222221</v>
      </c>
    </row>
    <row r="96" spans="1:2" x14ac:dyDescent="0.35">
      <c r="A96" t="s">
        <v>22</v>
      </c>
      <c r="B96">
        <f>GETPIVOTDATA("Metric",VarianceP!A1,"Product","B")</f>
        <v>6.25</v>
      </c>
    </row>
    <row r="97" spans="1:2" x14ac:dyDescent="0.35">
      <c r="A97" t="s">
        <v>22</v>
      </c>
      <c r="B97">
        <f>GETPIVOTDATA("Metric",VarianceP!A1,"Region","North","Product","A")</f>
        <v>36</v>
      </c>
    </row>
    <row r="98" spans="1:2" x14ac:dyDescent="0.35">
      <c r="A98" t="s">
        <v>22</v>
      </c>
      <c r="B98">
        <f>GETPIVOTDATA("Metric",VarianceP!A1,"Region","South","Product","B")</f>
        <v>0</v>
      </c>
    </row>
    <row r="99" spans="1:2" x14ac:dyDescent="0.35">
      <c r="A99" t="s">
        <v>22</v>
      </c>
      <c r="B99" t="e">
        <f>GETPIVOTDATA("Metric",VarianceP!A1,"Region","missing")</f>
        <v>#REF!</v>
      </c>
    </row>
    <row r="100" spans="1:2" x14ac:dyDescent="0.35">
      <c r="A100" t="s">
        <v>30</v>
      </c>
      <c r="B100" t="e">
        <f>GETPIVOTDATA("Sum",ErrorGroups!A1,"Group","Error")</f>
        <v>#N/A</v>
      </c>
    </row>
    <row r="101" spans="1:2" x14ac:dyDescent="0.35">
      <c r="A101" t="s">
        <v>30</v>
      </c>
      <c r="B101">
        <f>GETPIVOTDATA("Sum",ErrorGroups!A1,"Group","Literal")</f>
        <v>0</v>
      </c>
    </row>
    <row r="102" spans="1:2" x14ac:dyDescent="0.35">
      <c r="A102" t="s">
        <v>30</v>
      </c>
      <c r="B102">
        <f>GETPIVOTDATA("Sum",ErrorGroups!A1,"Group","Empty")</f>
        <v>0</v>
      </c>
    </row>
    <row r="103" spans="1:2" x14ac:dyDescent="0.35">
      <c r="A103" t="s">
        <v>30</v>
      </c>
      <c r="B103">
        <f>GETPIVOTDATA("Sum",ErrorGroups!A1,"Group","Single")</f>
        <v>5</v>
      </c>
    </row>
    <row r="104" spans="1:2" x14ac:dyDescent="0.35">
      <c r="A104" t="s">
        <v>30</v>
      </c>
      <c r="B104">
        <f>GETPIVOTDATA("Sum",ErrorGroups!A1,"Group","Boolean")</f>
        <v>0</v>
      </c>
    </row>
    <row r="105" spans="1:2" x14ac:dyDescent="0.35">
      <c r="A105" t="s">
        <v>30</v>
      </c>
      <c r="B105">
        <f>GETPIVOTDATA("Sum",ErrorGroups!A1,"Group","TextNumber")</f>
        <v>0</v>
      </c>
    </row>
    <row r="106" spans="1:2" x14ac:dyDescent="0.35">
      <c r="A106" t="s">
        <v>31</v>
      </c>
      <c r="B106">
        <f>GETPIVOTDATA("Count",ErrorGroups!A1,"Group","Error")</f>
        <v>2</v>
      </c>
    </row>
    <row r="107" spans="1:2" x14ac:dyDescent="0.35">
      <c r="A107" t="s">
        <v>31</v>
      </c>
      <c r="B107">
        <f>GETPIVOTDATA("Count",ErrorGroups!A1,"Group","Literal")</f>
        <v>1</v>
      </c>
    </row>
    <row r="108" spans="1:2" x14ac:dyDescent="0.35">
      <c r="A108" t="s">
        <v>31</v>
      </c>
      <c r="B108">
        <f>GETPIVOTDATA("Count",ErrorGroups!A1,"Group","Empty")</f>
        <v>0</v>
      </c>
    </row>
    <row r="109" spans="1:2" x14ac:dyDescent="0.35">
      <c r="A109" t="s">
        <v>31</v>
      </c>
      <c r="B109">
        <f>GETPIVOTDATA("Count",ErrorGroups!A1,"Group","Single")</f>
        <v>1</v>
      </c>
    </row>
    <row r="110" spans="1:2" x14ac:dyDescent="0.35">
      <c r="A110" t="s">
        <v>31</v>
      </c>
      <c r="B110">
        <f>GETPIVOTDATA("Count",ErrorGroups!A1,"Group","Boolean")</f>
        <v>1</v>
      </c>
    </row>
    <row r="111" spans="1:2" x14ac:dyDescent="0.35">
      <c r="A111" t="s">
        <v>31</v>
      </c>
      <c r="B111">
        <f>GETPIVOTDATA("Count",ErrorGroups!A1,"Group","TextNumber")</f>
        <v>1</v>
      </c>
    </row>
    <row r="112" spans="1:2" x14ac:dyDescent="0.35">
      <c r="A112" t="s">
        <v>32</v>
      </c>
      <c r="B112">
        <f>GETPIVOTDATA("CountNumbers",ErrorGroups!A1,"Group","Error")</f>
        <v>1</v>
      </c>
    </row>
    <row r="113" spans="1:2" x14ac:dyDescent="0.35">
      <c r="A113" t="s">
        <v>32</v>
      </c>
      <c r="B113">
        <f>GETPIVOTDATA("CountNumbers",ErrorGroups!A1,"Group","Literal")</f>
        <v>0</v>
      </c>
    </row>
    <row r="114" spans="1:2" x14ac:dyDescent="0.35">
      <c r="A114" t="s">
        <v>32</v>
      </c>
      <c r="B114">
        <f>GETPIVOTDATA("CountNumbers",ErrorGroups!A1,"Group","Empty")</f>
        <v>0</v>
      </c>
    </row>
    <row r="115" spans="1:2" x14ac:dyDescent="0.35">
      <c r="A115" t="s">
        <v>32</v>
      </c>
      <c r="B115">
        <f>GETPIVOTDATA("CountNumbers",ErrorGroups!A1,"Group","Single")</f>
        <v>1</v>
      </c>
    </row>
    <row r="116" spans="1:2" x14ac:dyDescent="0.35">
      <c r="A116" t="s">
        <v>32</v>
      </c>
      <c r="B116">
        <f>GETPIVOTDATA("CountNumbers",ErrorGroups!A1,"Group","Boolean")</f>
        <v>0</v>
      </c>
    </row>
    <row r="117" spans="1:2" x14ac:dyDescent="0.35">
      <c r="A117" t="s">
        <v>32</v>
      </c>
      <c r="B117">
        <f>GETPIVOTDATA("CountNumbers",ErrorGroups!A1,"Group","TextNumber")</f>
        <v>0</v>
      </c>
    </row>
    <row r="118" spans="1:2" x14ac:dyDescent="0.35">
      <c r="A118" t="s">
        <v>33</v>
      </c>
      <c r="B118" t="e">
        <f>GETPIVOTDATA("Average",ErrorGroups!A1,"Group","Error")</f>
        <v>#N/A</v>
      </c>
    </row>
    <row r="119" spans="1:2" x14ac:dyDescent="0.35">
      <c r="A119" t="s">
        <v>33</v>
      </c>
      <c r="B119" t="e">
        <f>GETPIVOTDATA("Average",ErrorGroups!A1,"Group","Literal")</f>
        <v>#DIV/0!</v>
      </c>
    </row>
    <row r="120" spans="1:2" x14ac:dyDescent="0.35">
      <c r="A120" t="s">
        <v>33</v>
      </c>
      <c r="B120">
        <f>GETPIVOTDATA("Average",ErrorGroups!A1,"Group","Empty")</f>
        <v>0</v>
      </c>
    </row>
    <row r="121" spans="1:2" x14ac:dyDescent="0.35">
      <c r="A121" t="s">
        <v>33</v>
      </c>
      <c r="B121">
        <f>GETPIVOTDATA("Average",ErrorGroups!A1,"Group","Single")</f>
        <v>5</v>
      </c>
    </row>
    <row r="122" spans="1:2" x14ac:dyDescent="0.35">
      <c r="A122" t="s">
        <v>33</v>
      </c>
      <c r="B122" t="e">
        <f>GETPIVOTDATA("Average",ErrorGroups!A1,"Group","Boolean")</f>
        <v>#DIV/0!</v>
      </c>
    </row>
    <row r="123" spans="1:2" x14ac:dyDescent="0.35">
      <c r="A123" t="s">
        <v>33</v>
      </c>
      <c r="B123" t="e">
        <f>GETPIVOTDATA("Average",ErrorGroups!A1,"Group","TextNumber")</f>
        <v>#DIV/0!</v>
      </c>
    </row>
    <row r="124" spans="1:2" x14ac:dyDescent="0.35">
      <c r="A124" t="s">
        <v>34</v>
      </c>
      <c r="B124" t="e">
        <f>GETPIVOTDATA("Minimum",ErrorGroups!A1,"Group","Error")</f>
        <v>#N/A</v>
      </c>
    </row>
    <row r="125" spans="1:2" x14ac:dyDescent="0.35">
      <c r="A125" t="s">
        <v>34</v>
      </c>
      <c r="B125">
        <f>GETPIVOTDATA("Minimum",ErrorGroups!A1,"Group","Literal")</f>
        <v>0</v>
      </c>
    </row>
    <row r="126" spans="1:2" x14ac:dyDescent="0.35">
      <c r="A126" t="s">
        <v>34</v>
      </c>
      <c r="B126">
        <f>GETPIVOTDATA("Minimum",ErrorGroups!A1,"Group","Empty")</f>
        <v>0</v>
      </c>
    </row>
    <row r="127" spans="1:2" x14ac:dyDescent="0.35">
      <c r="A127" t="s">
        <v>34</v>
      </c>
      <c r="B127">
        <f>GETPIVOTDATA("Minimum",ErrorGroups!A1,"Group","Single")</f>
        <v>5</v>
      </c>
    </row>
    <row r="128" spans="1:2" x14ac:dyDescent="0.35">
      <c r="A128" t="s">
        <v>34</v>
      </c>
      <c r="B128">
        <f>GETPIVOTDATA("Minimum",ErrorGroups!A1,"Group","Boolean")</f>
        <v>0</v>
      </c>
    </row>
    <row r="129" spans="1:2" x14ac:dyDescent="0.35">
      <c r="A129" t="s">
        <v>34</v>
      </c>
      <c r="B129">
        <f>GETPIVOTDATA("Minimum",ErrorGroups!A1,"Group","TextNumber")</f>
        <v>0</v>
      </c>
    </row>
    <row r="130" spans="1:2" x14ac:dyDescent="0.35">
      <c r="A130" t="s">
        <v>35</v>
      </c>
      <c r="B130" t="e">
        <f>GETPIVOTDATA("Maximum",ErrorGroups!A1,"Group","Error")</f>
        <v>#N/A</v>
      </c>
    </row>
    <row r="131" spans="1:2" x14ac:dyDescent="0.35">
      <c r="A131" t="s">
        <v>35</v>
      </c>
      <c r="B131">
        <f>GETPIVOTDATA("Maximum",ErrorGroups!A1,"Group","Literal")</f>
        <v>0</v>
      </c>
    </row>
    <row r="132" spans="1:2" x14ac:dyDescent="0.35">
      <c r="A132" t="s">
        <v>35</v>
      </c>
      <c r="B132">
        <f>GETPIVOTDATA("Maximum",ErrorGroups!A1,"Group","Empty")</f>
        <v>0</v>
      </c>
    </row>
    <row r="133" spans="1:2" x14ac:dyDescent="0.35">
      <c r="A133" t="s">
        <v>35</v>
      </c>
      <c r="B133">
        <f>GETPIVOTDATA("Maximum",ErrorGroups!A1,"Group","Single")</f>
        <v>5</v>
      </c>
    </row>
    <row r="134" spans="1:2" x14ac:dyDescent="0.35">
      <c r="A134" t="s">
        <v>35</v>
      </c>
      <c r="B134">
        <f>GETPIVOTDATA("Maximum",ErrorGroups!A1,"Group","Boolean")</f>
        <v>0</v>
      </c>
    </row>
    <row r="135" spans="1:2" x14ac:dyDescent="0.35">
      <c r="A135" t="s">
        <v>35</v>
      </c>
      <c r="B135">
        <f>GETPIVOTDATA("Maximum",ErrorGroups!A1,"Group","TextNumber")</f>
        <v>0</v>
      </c>
    </row>
    <row r="136" spans="1:2" x14ac:dyDescent="0.35">
      <c r="A136" t="s">
        <v>36</v>
      </c>
      <c r="B136" t="e">
        <f>GETPIVOTDATA("Product",ErrorGroups!A1,"Group","Error")</f>
        <v>#N/A</v>
      </c>
    </row>
    <row r="137" spans="1:2" x14ac:dyDescent="0.35">
      <c r="A137" t="s">
        <v>36</v>
      </c>
      <c r="B137">
        <f>GETPIVOTDATA("Product",ErrorGroups!A1,"Group","Literal")</f>
        <v>0</v>
      </c>
    </row>
    <row r="138" spans="1:2" x14ac:dyDescent="0.35">
      <c r="A138" t="s">
        <v>36</v>
      </c>
      <c r="B138">
        <f>GETPIVOTDATA("Product",ErrorGroups!A1,"Group","Empty")</f>
        <v>0</v>
      </c>
    </row>
    <row r="139" spans="1:2" x14ac:dyDescent="0.35">
      <c r="A139" t="s">
        <v>36</v>
      </c>
      <c r="B139">
        <f>GETPIVOTDATA("Product",ErrorGroups!A1,"Group","Single")</f>
        <v>5</v>
      </c>
    </row>
    <row r="140" spans="1:2" x14ac:dyDescent="0.35">
      <c r="A140" t="s">
        <v>36</v>
      </c>
      <c r="B140">
        <f>GETPIVOTDATA("Product",ErrorGroups!A1,"Group","Boolean")</f>
        <v>0</v>
      </c>
    </row>
    <row r="141" spans="1:2" x14ac:dyDescent="0.35">
      <c r="A141" t="s">
        <v>36</v>
      </c>
      <c r="B141">
        <f>GETPIVOTDATA("Product",ErrorGroups!A1,"Group","TextNumber")</f>
        <v>0</v>
      </c>
    </row>
    <row r="142" spans="1:2" x14ac:dyDescent="0.35">
      <c r="A142" t="s">
        <v>37</v>
      </c>
      <c r="B142" t="e">
        <f>GETPIVOTDATA("StandardDeviation",ErrorGroups!A1,"Group","Error")</f>
        <v>#N/A</v>
      </c>
    </row>
    <row r="143" spans="1:2" x14ac:dyDescent="0.35">
      <c r="A143" t="s">
        <v>37</v>
      </c>
      <c r="B143" t="e">
        <f>GETPIVOTDATA("StandardDeviation",ErrorGroups!A1,"Group","Literal")</f>
        <v>#DIV/0!</v>
      </c>
    </row>
    <row r="144" spans="1:2" x14ac:dyDescent="0.35">
      <c r="A144" t="s">
        <v>37</v>
      </c>
      <c r="B144">
        <f>GETPIVOTDATA("StandardDeviation",ErrorGroups!A1,"Group","Empty")</f>
        <v>0</v>
      </c>
    </row>
    <row r="145" spans="1:2" x14ac:dyDescent="0.35">
      <c r="A145" t="s">
        <v>37</v>
      </c>
      <c r="B145" t="e">
        <f>GETPIVOTDATA("StandardDeviation",ErrorGroups!A1,"Group","Single")</f>
        <v>#DIV/0!</v>
      </c>
    </row>
    <row r="146" spans="1:2" x14ac:dyDescent="0.35">
      <c r="A146" t="s">
        <v>37</v>
      </c>
      <c r="B146" t="e">
        <f>GETPIVOTDATA("StandardDeviation",ErrorGroups!A1,"Group","Boolean")</f>
        <v>#DIV/0!</v>
      </c>
    </row>
    <row r="147" spans="1:2" x14ac:dyDescent="0.35">
      <c r="A147" t="s">
        <v>37</v>
      </c>
      <c r="B147" t="e">
        <f>GETPIVOTDATA("StandardDeviation",ErrorGroups!A1,"Group","TextNumber")</f>
        <v>#DIV/0!</v>
      </c>
    </row>
    <row r="148" spans="1:2" x14ac:dyDescent="0.35">
      <c r="A148" t="s">
        <v>38</v>
      </c>
      <c r="B148" t="e">
        <f>GETPIVOTDATA("StandardDeviationP",ErrorGroups!A1,"Group","Error")</f>
        <v>#N/A</v>
      </c>
    </row>
    <row r="149" spans="1:2" x14ac:dyDescent="0.35">
      <c r="A149" t="s">
        <v>38</v>
      </c>
      <c r="B149" t="e">
        <f>GETPIVOTDATA("StandardDeviationP",ErrorGroups!A1,"Group","Literal")</f>
        <v>#DIV/0!</v>
      </c>
    </row>
    <row r="150" spans="1:2" x14ac:dyDescent="0.35">
      <c r="A150" t="s">
        <v>38</v>
      </c>
      <c r="B150">
        <f>GETPIVOTDATA("StandardDeviationP",ErrorGroups!A1,"Group","Empty")</f>
        <v>0</v>
      </c>
    </row>
    <row r="151" spans="1:2" x14ac:dyDescent="0.35">
      <c r="A151" t="s">
        <v>38</v>
      </c>
      <c r="B151">
        <f>GETPIVOTDATA("StandardDeviationP",ErrorGroups!A1,"Group","Single")</f>
        <v>0</v>
      </c>
    </row>
    <row r="152" spans="1:2" x14ac:dyDescent="0.35">
      <c r="A152" t="s">
        <v>38</v>
      </c>
      <c r="B152" t="e">
        <f>GETPIVOTDATA("StandardDeviationP",ErrorGroups!A1,"Group","Boolean")</f>
        <v>#DIV/0!</v>
      </c>
    </row>
    <row r="153" spans="1:2" x14ac:dyDescent="0.35">
      <c r="A153" t="s">
        <v>38</v>
      </c>
      <c r="B153" t="e">
        <f>GETPIVOTDATA("StandardDeviationP",ErrorGroups!A1,"Group","TextNumber")</f>
        <v>#DIV/0!</v>
      </c>
    </row>
    <row r="154" spans="1:2" x14ac:dyDescent="0.35">
      <c r="A154" t="s">
        <v>39</v>
      </c>
      <c r="B154" t="e">
        <f>GETPIVOTDATA("Variance",ErrorGroups!A1,"Group","Error")</f>
        <v>#N/A</v>
      </c>
    </row>
    <row r="155" spans="1:2" x14ac:dyDescent="0.35">
      <c r="A155" t="s">
        <v>39</v>
      </c>
      <c r="B155" t="e">
        <f>GETPIVOTDATA("Variance",ErrorGroups!A1,"Group","Literal")</f>
        <v>#DIV/0!</v>
      </c>
    </row>
    <row r="156" spans="1:2" x14ac:dyDescent="0.35">
      <c r="A156" t="s">
        <v>39</v>
      </c>
      <c r="B156">
        <f>GETPIVOTDATA("Variance",ErrorGroups!A1,"Group","Empty")</f>
        <v>0</v>
      </c>
    </row>
    <row r="157" spans="1:2" x14ac:dyDescent="0.35">
      <c r="A157" t="s">
        <v>39</v>
      </c>
      <c r="B157" t="e">
        <f>GETPIVOTDATA("Variance",ErrorGroups!A1,"Group","Single")</f>
        <v>#DIV/0!</v>
      </c>
    </row>
    <row r="158" spans="1:2" x14ac:dyDescent="0.35">
      <c r="A158" t="s">
        <v>39</v>
      </c>
      <c r="B158" t="e">
        <f>GETPIVOTDATA("Variance",ErrorGroups!A1,"Group","Boolean")</f>
        <v>#DIV/0!</v>
      </c>
    </row>
    <row r="159" spans="1:2" x14ac:dyDescent="0.35">
      <c r="A159" t="s">
        <v>39</v>
      </c>
      <c r="B159" t="e">
        <f>GETPIVOTDATA("Variance",ErrorGroups!A1,"Group","TextNumber")</f>
        <v>#DIV/0!</v>
      </c>
    </row>
    <row r="160" spans="1:2" x14ac:dyDescent="0.35">
      <c r="A160" t="s">
        <v>40</v>
      </c>
      <c r="B160" t="e">
        <f>GETPIVOTDATA("VarianceP",ErrorGroups!A1,"Group","Error")</f>
        <v>#N/A</v>
      </c>
    </row>
    <row r="161" spans="1:2" x14ac:dyDescent="0.35">
      <c r="A161" t="s">
        <v>40</v>
      </c>
      <c r="B161" t="e">
        <f>GETPIVOTDATA("VarianceP",ErrorGroups!A1,"Group","Literal")</f>
        <v>#DIV/0!</v>
      </c>
    </row>
    <row r="162" spans="1:2" x14ac:dyDescent="0.35">
      <c r="A162" t="s">
        <v>40</v>
      </c>
      <c r="B162">
        <f>GETPIVOTDATA("VarianceP",ErrorGroups!A1,"Group","Empty")</f>
        <v>0</v>
      </c>
    </row>
    <row r="163" spans="1:2" x14ac:dyDescent="0.35">
      <c r="A163" t="s">
        <v>40</v>
      </c>
      <c r="B163">
        <f>GETPIVOTDATA("VarianceP",ErrorGroups!A1,"Group","Single")</f>
        <v>0</v>
      </c>
    </row>
    <row r="164" spans="1:2" x14ac:dyDescent="0.35">
      <c r="A164" t="s">
        <v>40</v>
      </c>
      <c r="B164" t="e">
        <f>GETPIVOTDATA("VarianceP",ErrorGroups!A1,"Group","Boolean")</f>
        <v>#DIV/0!</v>
      </c>
    </row>
    <row r="165" spans="1:2" x14ac:dyDescent="0.35">
      <c r="A165" t="s">
        <v>40</v>
      </c>
      <c r="B165" t="e">
        <f>GETPIVOTDATA("VarianceP",ErrorGroups!A1,"Group","TextNumber")</f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AE98F-72CC-4524-BD61-6D2C6C78ED09}">
  <dimension ref="A1:D9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>
        <v>10</v>
      </c>
      <c r="D2">
        <v>2</v>
      </c>
    </row>
    <row r="3" spans="1:4" x14ac:dyDescent="0.35">
      <c r="A3" t="s">
        <v>4</v>
      </c>
      <c r="B3" t="s">
        <v>6</v>
      </c>
      <c r="C3">
        <v>20</v>
      </c>
      <c r="D3">
        <v>3</v>
      </c>
    </row>
    <row r="4" spans="1:4" x14ac:dyDescent="0.35">
      <c r="A4" t="s">
        <v>7</v>
      </c>
      <c r="B4" t="s">
        <v>5</v>
      </c>
      <c r="C4">
        <v>5</v>
      </c>
      <c r="D4">
        <v>1</v>
      </c>
    </row>
    <row r="5" spans="1:4" x14ac:dyDescent="0.35">
      <c r="A5" t="s">
        <v>7</v>
      </c>
      <c r="B5" t="s">
        <v>6</v>
      </c>
      <c r="C5">
        <v>15</v>
      </c>
      <c r="D5">
        <v>4</v>
      </c>
    </row>
    <row r="6" spans="1:4" x14ac:dyDescent="0.35">
      <c r="A6" t="s">
        <v>4</v>
      </c>
      <c r="B6" t="s">
        <v>5</v>
      </c>
      <c r="C6">
        <v>-2</v>
      </c>
      <c r="D6">
        <v>1</v>
      </c>
    </row>
    <row r="7" spans="1:4" x14ac:dyDescent="0.35">
      <c r="A7" t="s">
        <v>8</v>
      </c>
      <c r="B7" t="s">
        <v>6</v>
      </c>
      <c r="D7">
        <v>5</v>
      </c>
    </row>
    <row r="8" spans="1:4" x14ac:dyDescent="0.35">
      <c r="A8" t="s">
        <v>7</v>
      </c>
      <c r="B8" t="s">
        <v>5</v>
      </c>
      <c r="C8" t="s">
        <v>9</v>
      </c>
      <c r="D8">
        <v>2</v>
      </c>
    </row>
    <row r="9" spans="1:4" x14ac:dyDescent="0.35">
      <c r="A9" t="s">
        <v>4</v>
      </c>
      <c r="B9" t="s">
        <v>6</v>
      </c>
      <c r="C9" t="b">
        <v>1</v>
      </c>
      <c r="D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ErrorGroups</vt:lpstr>
      <vt:lpstr>ErrorSource</vt:lpstr>
      <vt:lpstr>VarianceP</vt:lpstr>
      <vt:lpstr>Variance</vt:lpstr>
      <vt:lpstr>StandardDeviationP</vt:lpstr>
      <vt:lpstr>StandardDeviation</vt:lpstr>
      <vt:lpstr>Product</vt:lpstr>
      <vt:lpstr>Maximum</vt:lpstr>
      <vt:lpstr>Minimum</vt:lpstr>
      <vt:lpstr>Average</vt:lpstr>
      <vt:lpstr>CountNumbers</vt:lpstr>
      <vt:lpstr>Count</vt:lpstr>
      <vt:lpstr>Sum</vt:lpstr>
      <vt:lpstr>Lookups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2026-09-27T13:24:55Z</dcterms:created>
  <dcterms:modified xsi:type="dcterms:W3CDTF">2026-09-27T13:25:00Z</dcterms:modified>
</cp:coreProperties>
</file>