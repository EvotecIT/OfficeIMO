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882E7FC-DB9E-4B3F-8E0B-DB3347118C9C}" xr6:coauthVersionLast="47" xr6:coauthVersionMax="47" xr10:uidLastSave="{00000000-0000-0000-0000-000000000000}"/>
  <bookViews>
    <workbookView xWindow="-110" yWindow="-110" windowWidth="38620" windowHeight="21100" xr2:uid="{3E1EE5EB-53F1-408B-A92B-0651D5ADE064}"/>
  </bookViews>
  <sheets>
    <sheet name="LookupEdges" sheetId="16" r:id="rId1"/>
    <sheet name="ErrorGroups" sheetId="15" r:id="rId2"/>
    <sheet name="ErrorSource" sheetId="14" r:id="rId3"/>
    <sheet name="VarianceP" sheetId="13" r:id="rId4"/>
    <sheet name="Variance" sheetId="12" r:id="rId5"/>
    <sheet name="StandardDeviationP" sheetId="11" r:id="rId6"/>
    <sheet name="StandardDeviation" sheetId="10" r:id="rId7"/>
    <sheet name="Product" sheetId="9" r:id="rId8"/>
    <sheet name="Maximum" sheetId="8" r:id="rId9"/>
    <sheet name="Minimum" sheetId="7" r:id="rId10"/>
    <sheet name="Average" sheetId="6" r:id="rId11"/>
    <sheet name="CountNumbers" sheetId="5" r:id="rId12"/>
    <sheet name="Count" sheetId="4" r:id="rId13"/>
    <sheet name="Sum" sheetId="3" r:id="rId14"/>
    <sheet name="Lookups" sheetId="2" r:id="rId15"/>
    <sheet name="Source" sheetId="1" r:id="rId16"/>
  </sheets>
  <calcPr calcId="191029"/>
  <pivotCaches>
    <pivotCache cacheId="9" r:id="rId17"/>
    <pivotCache cacheId="19" r:id="rId18"/>
    <pivotCache cacheId="29" r:id="rId19"/>
    <pivotCache cacheId="39" r:id="rId20"/>
    <pivotCache cacheId="49" r:id="rId21"/>
    <pivotCache cacheId="59" r:id="rId22"/>
    <pivotCache cacheId="69" r:id="rId23"/>
    <pivotCache cacheId="79" r:id="rId24"/>
    <pivotCache cacheId="89" r:id="rId25"/>
    <pivotCache cacheId="99" r:id="rId26"/>
    <pivotCache cacheId="109" r:id="rId27"/>
    <pivotCache cacheId="117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2" i="16" l="1"/>
  <c r="B8" i="14"/>
  <c r="B7" i="14"/>
  <c r="B4" i="14"/>
  <c r="B2" i="14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1" i="16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<sst xmlns="http://schemas.openxmlformats.org/spreadsheetml/2006/main" count="324" uniqueCount="41">
  <si>
    <t>Region</t>
  </si>
  <si>
    <t>Product</t>
  </si>
  <si>
    <t>Amount</t>
  </si>
  <si>
    <t>Units</t>
  </si>
  <si>
    <t>North</t>
  </si>
  <si>
    <t>A</t>
  </si>
  <si>
    <t>B</t>
  </si>
  <si>
    <t>South</t>
  </si>
  <si>
    <t>West</t>
  </si>
  <si>
    <t>pending</t>
  </si>
  <si>
    <t>Row Labels</t>
  </si>
  <si>
    <t>Grand Total</t>
  </si>
  <si>
    <t>Metric</t>
  </si>
  <si>
    <t>Sum</t>
  </si>
  <si>
    <t>Count</t>
  </si>
  <si>
    <t>CountNumbers</t>
  </si>
  <si>
    <t>Average</t>
  </si>
  <si>
    <t>Minimum</t>
  </si>
  <si>
    <t>Maximum</t>
  </si>
  <si>
    <t>StandardDeviation</t>
  </si>
  <si>
    <t>StandardDeviationP</t>
  </si>
  <si>
    <t>Variance</t>
  </si>
  <si>
    <t>VarianceP</t>
  </si>
  <si>
    <t>Group</t>
  </si>
  <si>
    <t>Error</t>
  </si>
  <si>
    <t>Literal</t>
  </si>
  <si>
    <t>Empty</t>
  </si>
  <si>
    <t>Single</t>
  </si>
  <si>
    <t>Boolean</t>
  </si>
  <si>
    <t>TextNumber</t>
  </si>
  <si>
    <t>Error Sum</t>
  </si>
  <si>
    <t>Error Count</t>
  </si>
  <si>
    <t>Error CountNumbers</t>
  </si>
  <si>
    <t>Error Average</t>
  </si>
  <si>
    <t>Error Minimum</t>
  </si>
  <si>
    <t>Error Maximum</t>
  </si>
  <si>
    <t>Error Product</t>
  </si>
  <si>
    <t>Error StandardDeviation</t>
  </si>
  <si>
    <t>Error StandardDeviationP</t>
  </si>
  <si>
    <t>Error Variance</t>
  </si>
  <si>
    <t>Error VarianceP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</si>
</sst>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89814814" createdVersion="6" refreshedVersion="8" minRefreshableVersion="3" recordCount="8" xr:uid="{213C3A12-7F95-4031-AB2F-0DFD676DA18A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0856483" createdVersion="6" refreshedVersion="8" minRefreshableVersion="3" recordCount="8" xr:uid="{2BC03678-FBB0-47E9-ADC6-5CC3791277A4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1550923" createdVersion="6" refreshedVersion="8" minRefreshableVersion="3" recordCount="8" xr:uid="{6FF4B22B-F1AF-45E2-AAE1-6C24335E59C7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2245369" createdVersion="6" refreshedVersion="8" minRefreshableVersion="3" recordCount="8" xr:uid="{E60A7CEF-2149-4B98-82EF-EF457C42E97A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2939816" createdVersion="6" refreshedVersion="8" minRefreshableVersion="3" recordCount="8" xr:uid="{7A645670-8CF9-4605-8669-6A848EF6173A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3750001" createdVersion="6" refreshedVersion="8" minRefreshableVersion="3" recordCount="8" xr:uid="{9052A462-4DC9-4DFA-AF7A-C92F86F25761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4675925" createdVersion="6" refreshedVersion="8" minRefreshableVersion="3" recordCount="8" xr:uid="{49F60F01-5BED-4AAE-BA95-36CC68C82EE6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548611" createdVersion="6" refreshedVersion="8" minRefreshableVersion="3" recordCount="8" xr:uid="{274F422E-813F-411A-B03C-F9EC99F1C609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6296295" createdVersion="6" refreshedVersion="8" minRefreshableVersion="3" recordCount="8" xr:uid="{4BA254D4-7DA4-441F-9D62-2CDB6281980A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710648" createdVersion="6" refreshedVersion="8" minRefreshableVersion="3" recordCount="8" xr:uid="{23A19AC0-19E5-48C4-A05D-8334BDD0D15F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797916665" createdVersion="6" refreshedVersion="8" minRefreshableVersion="3" recordCount="8" xr:uid="{9AE02201-051C-458C-AB4D-1C4C5074300A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58802662037" createdVersion="6" refreshedVersion="8" minRefreshableVersion="3" recordCount="7" xr:uid="{AC9CCD48-357C-4DDD-85DB-5F3D34C5C6E2}">
  <cacheSource type="worksheet">
    <worksheetSource ref="A1:B8" sheet="ErrorSource"/>
  </cacheSource>
  <cacheFields count="2">
    <cacheField name="Group" numFmtId="0">
      <sharedItems count="6">
        <s v="Error"/>
        <s v="Literal"/>
        <s v="Empty"/>
        <s v="Single"/>
        <s v="Boolean"/>
        <s v="TextNumber"/>
      </sharedItems>
    </cacheField>
    <cacheField name="Amount" numFmtId="0">
      <sharedItems containsBlank="1" containsMixedTypes="1" containsNumber="1" containsInteg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0"/>
    <n v="3"/>
  </r>
  <r>
    <x v="1"/>
    <s v="#N/A"/>
  </r>
  <r>
    <x v="2"/>
    <m/>
  </r>
  <r>
    <x v="3"/>
    <n v="5"/>
  </r>
  <r>
    <x v="4"/>
    <b v="1"/>
  </r>
  <r>
    <x v="5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92055-9170-482B-93D5-D9DE7ECBA4A6}" name="PivotErrorGroups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L8" firstHeaderRow="0" firstDataRow="1" firstDataCol="1"/>
  <pivotFields count="2">
    <pivotField axis="axisRow" showAll="0">
      <items count="7">
        <item x="4"/>
        <item x="2"/>
        <item x="0"/>
        <item x="1"/>
        <item x="3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" fld="1" baseField="0" baseItem="0"/>
    <dataField name="Count" fld="1" subtotal="count" baseField="0" baseItem="0"/>
    <dataField name="CountNumbers" fld="1" subtotal="countNums" baseField="0" baseItem="0"/>
    <dataField name="Average" fld="1" subtotal="average" baseField="0" baseItem="0"/>
    <dataField name="Minimum" fld="1" subtotal="min" baseField="0" baseItem="0"/>
    <dataField name="Maximum" fld="1" subtotal="max" baseField="0" baseItem="0"/>
    <dataField name="Product" fld="1" subtotal="product" baseField="0" baseItem="0"/>
    <dataField name="StandardDeviation" fld="1" subtotal="stdDev" baseField="0" baseItem="0"/>
    <dataField name="StandardDeviationP" fld="1" subtotal="stdDevp" baseField="0" baseItem="0"/>
    <dataField name="Variance" fld="1" subtotal="var" baseField="0" baseItem="0"/>
    <dataField name="VarianceP" fld="1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77F5B-15AA-489B-88A1-5CD68AE0A747}" name="PivotVarianceP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D96C1-37EB-4E05-BCBD-0BC067E9701D}" name="PivotVariance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19975-3807-4EA2-9C67-344EA160698E}" name="PivotStandardDeviationP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stdDev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FD2AF-BF41-4D45-9FE0-68E750742265}" name="PivotStandardDeviation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F7C71-FD19-4E1B-922A-BC0071CDDE02}" name="PivotProduct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27D33-B72B-4E23-AD49-B0EA618FCFB1}" name="PivotMaximum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65852-B67F-4B84-ACCF-8BE183442F56}" name="PivotMinimum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3A28E-3CFC-4E82-9D1C-513961A59241}" name="PivotAverage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8C8B8-9986-4DF3-AAD6-DCEC37425A1E}" name="PivotCountNumbers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50292-163F-47AE-9C58-9C5046602472}" name="PivotCoun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9914D-9FF5-431C-B8BC-9831E2DA7E3F}" name="PivotSum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6" firstHeaderRow="1" firstDataRow="2" firstDataCol="1"/>
  <pivotFields count="4">
    <pivotField axis="axisRow" compact="0" outline="0" showAll="0" defaultSubtotal="0">
      <items count="3">
        <item x="0"/>
        <item x="1"/>
        <item x="2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BF11-90F5-4A64-85C3-47D415AD811C}">
  <dimension ref="A1:A22"/>
  <sheetViews>
    <sheetView tabSelected="1" workbookViewId="0"/>
  </sheetViews>
  <sheetFormatPr defaultRowHeight="14.5" x14ac:dyDescent="0.35"/>
  <sheetData>
    <row r="1" spans="1:1" x14ac:dyDescent="0.35">
      <c r="A1">
        <f>GETPIVOTDATA("Metric",Sum!A1,"Region","West","Product","A")</f>
        <v>0</v>
      </c>
    </row>
    <row r="2" spans="1:1" x14ac:dyDescent="0.35">
      <c r="A2">
        <f>GETPIVOTDATA("Amount",Sum!A1)</f>
        <v>48</v>
      </c>
    </row>
    <row r="3" spans="1:1" x14ac:dyDescent="0.35">
      <c r="A3" t="e">
        <f>GETPIVOTDATA("Count",ErrorGroups!A1)</f>
        <v>#N/A</v>
      </c>
    </row>
    <row r="4" spans="1:1" x14ac:dyDescent="0.35">
      <c r="A4" t="e">
        <f>GETPIVOTDATA("CountNumbers",ErrorGroups!A1)</f>
        <v>#N/A</v>
      </c>
    </row>
    <row r="5" spans="1:1" x14ac:dyDescent="0.35">
      <c r="A5">
        <f>GETPIVOTDATA("Metric",Sum!B4,"Region","North")</f>
        <v>28</v>
      </c>
    </row>
    <row r="6" spans="1:1" x14ac:dyDescent="0.35">
      <c r="A6">
        <f>GETPIVOTDATA("Metric",Sum!A1:D6,"Product","A")</f>
        <v>13</v>
      </c>
    </row>
    <row r="7" spans="1:1" x14ac:dyDescent="0.35">
      <c r="A7" t="e">
        <f>GETPIVOTDATA("Metric",Sum!Z1)</f>
        <v>#REF!</v>
      </c>
    </row>
    <row r="8" spans="1:1" x14ac:dyDescent="0.35">
      <c r="A8">
        <f>GETPIVOTDATA("Metric",Sum!A1,"Region","North","Region","North")</f>
        <v>28</v>
      </c>
    </row>
    <row r="9" spans="1:1" x14ac:dyDescent="0.35">
      <c r="A9" t="e">
        <f>GETPIVOTDATA("Metric",Sum!A1,"Region","North","Region","South")</f>
        <v>#REF!</v>
      </c>
    </row>
    <row r="10" spans="1:1" x14ac:dyDescent="0.35">
      <c r="A10">
        <f>GETPIVOTDATA("Metric",Sum!A1,"Region","north")</f>
        <v>28</v>
      </c>
    </row>
    <row r="11" spans="1:1" x14ac:dyDescent="0.35">
      <c r="A11" t="e">
        <f>GETPIVOTDATA("Metric",Sum!A1,"notafield","A")</f>
        <v>#REF!</v>
      </c>
    </row>
    <row r="12" spans="1:1" x14ac:dyDescent="0.35">
      <c r="A12" t="e">
        <f>GETPIVOTDATA("missing",Sum!A1)</f>
        <v>#REF!</v>
      </c>
    </row>
    <row r="13" spans="1:1" x14ac:dyDescent="0.35">
      <c r="A13">
        <f>GETPIVOTDATA("Count",ErrorGroups!A1,"Group","TextNumber")</f>
        <v>1</v>
      </c>
    </row>
    <row r="14" spans="1:1" x14ac:dyDescent="0.35">
      <c r="A14">
        <f>IFERROR(GETPIVOTDATA("Metric",Sum!Z1),77)</f>
        <v>77</v>
      </c>
    </row>
    <row r="15" spans="1:1" x14ac:dyDescent="0.35">
      <c r="A15">
        <f>GETPIVOTDATA("Metric",Sum!A1,"Region",Source!A2)</f>
        <v>28</v>
      </c>
    </row>
    <row r="16" spans="1:1" x14ac:dyDescent="0.35">
      <c r="A16">
        <f>GETPIVOTDATA("Metric",Sum!A1,"Region","West")</f>
        <v>0</v>
      </c>
    </row>
    <row r="17" spans="1:1" x14ac:dyDescent="0.35">
      <c r="A17">
        <f>GETPIVOTDATA("Metric",Sum!A1,"Region","West","Product","B")</f>
        <v>0</v>
      </c>
    </row>
    <row r="18" spans="1:1" x14ac:dyDescent="0.35">
      <c r="A18">
        <f>GETPIVOTDATA("Metric",Sum!A1,"Product","a")</f>
        <v>13</v>
      </c>
    </row>
    <row r="19" spans="1:1" x14ac:dyDescent="0.35">
      <c r="A19">
        <f>GETPIVOTDATA("Count",ErrorGroups!A1,"Group","Literal")</f>
        <v>1</v>
      </c>
    </row>
    <row r="20" spans="1:1" x14ac:dyDescent="0.35">
      <c r="A20">
        <f>GETPIVOTDATA("CountNumbers",ErrorGroups!A1,"Group","Literal")</f>
        <v>0</v>
      </c>
    </row>
    <row r="21" spans="1:1" x14ac:dyDescent="0.35">
      <c r="A21" t="e">
        <f>GETPIVOTDATA("Metric",Sum!A1,"Product",1)</f>
        <v>#REF!</v>
      </c>
    </row>
    <row r="22" spans="1:1" x14ac:dyDescent="0.35">
      <c r="A22" t="b">
        <f>FALSE()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CC2D-93A0-4D78-91BC-E81BA4D80C56}">
  <dimension ref="A1:L8"/>
  <sheetViews>
    <sheetView workbookViewId="0"/>
  </sheetViews>
  <sheetFormatPr defaultRowHeight="14.5" x14ac:dyDescent="0.35"/>
  <cols>
    <col min="1" max="1" width="12.453125" bestFit="1" customWidth="1"/>
    <col min="2" max="2" width="4.90625" bestFit="1" customWidth="1"/>
    <col min="3" max="3" width="5.90625" bestFit="1" customWidth="1"/>
    <col min="4" max="4" width="13.6328125" bestFit="1" customWidth="1"/>
    <col min="5" max="5" width="7.36328125" bestFit="1" customWidth="1"/>
    <col min="6" max="6" width="8.81640625" bestFit="1" customWidth="1"/>
    <col min="7" max="7" width="9.08984375" bestFit="1" customWidth="1"/>
    <col min="8" max="8" width="7.36328125" bestFit="1" customWidth="1"/>
    <col min="9" max="9" width="16.54296875" bestFit="1" customWidth="1"/>
    <col min="10" max="10" width="17.7265625" bestFit="1" customWidth="1"/>
    <col min="11" max="11" width="8.1796875" bestFit="1" customWidth="1"/>
    <col min="12" max="12" width="9.26953125" bestFit="1" customWidth="1"/>
  </cols>
  <sheetData>
    <row r="1" spans="1:12" x14ac:dyDescent="0.35">
      <c r="A1" s="1" t="s">
        <v>10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5">
      <c r="A2" s="2" t="s">
        <v>28</v>
      </c>
      <c r="B2" s="3">
        <v>0</v>
      </c>
      <c r="C2" s="3">
        <v>1</v>
      </c>
      <c r="D2" s="3">
        <v>0</v>
      </c>
      <c r="E2" s="3" t="e">
        <v>#DIV/0!</v>
      </c>
      <c r="F2" s="3">
        <v>0</v>
      </c>
      <c r="G2" s="3">
        <v>0</v>
      </c>
      <c r="H2" s="3">
        <v>0</v>
      </c>
      <c r="I2" s="3" t="e">
        <v>#DIV/0!</v>
      </c>
      <c r="J2" s="3" t="e">
        <v>#DIV/0!</v>
      </c>
      <c r="K2" s="3" t="e">
        <v>#DIV/0!</v>
      </c>
      <c r="L2" s="3" t="e">
        <v>#DIV/0!</v>
      </c>
    </row>
    <row r="3" spans="1:12" x14ac:dyDescent="0.35">
      <c r="A3" s="2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5">
      <c r="A4" s="2" t="s">
        <v>24</v>
      </c>
      <c r="B4" s="3" t="e">
        <v>#N/A</v>
      </c>
      <c r="C4" s="3">
        <v>2</v>
      </c>
      <c r="D4" s="3">
        <v>1</v>
      </c>
      <c r="E4" s="3" t="e">
        <v>#N/A</v>
      </c>
      <c r="F4" s="3" t="e">
        <v>#N/A</v>
      </c>
      <c r="G4" s="3" t="e">
        <v>#N/A</v>
      </c>
      <c r="H4" s="3" t="e">
        <v>#N/A</v>
      </c>
      <c r="I4" s="3" t="e">
        <v>#N/A</v>
      </c>
      <c r="J4" s="3" t="e">
        <v>#N/A</v>
      </c>
      <c r="K4" s="3" t="e">
        <v>#N/A</v>
      </c>
      <c r="L4" s="3" t="e">
        <v>#N/A</v>
      </c>
    </row>
    <row r="5" spans="1:12" x14ac:dyDescent="0.35">
      <c r="A5" s="2" t="s">
        <v>25</v>
      </c>
      <c r="B5" s="3">
        <v>0</v>
      </c>
      <c r="C5" s="3">
        <v>1</v>
      </c>
      <c r="D5" s="3">
        <v>0</v>
      </c>
      <c r="E5" s="3" t="e">
        <v>#DIV/0!</v>
      </c>
      <c r="F5" s="3">
        <v>0</v>
      </c>
      <c r="G5" s="3">
        <v>0</v>
      </c>
      <c r="H5" s="3">
        <v>0</v>
      </c>
      <c r="I5" s="3" t="e">
        <v>#DIV/0!</v>
      </c>
      <c r="J5" s="3" t="e">
        <v>#DIV/0!</v>
      </c>
      <c r="K5" s="3" t="e">
        <v>#DIV/0!</v>
      </c>
      <c r="L5" s="3" t="e">
        <v>#DIV/0!</v>
      </c>
    </row>
    <row r="6" spans="1:12" x14ac:dyDescent="0.35">
      <c r="A6" s="2" t="s">
        <v>27</v>
      </c>
      <c r="B6" s="3">
        <v>5</v>
      </c>
      <c r="C6" s="3">
        <v>1</v>
      </c>
      <c r="D6" s="3">
        <v>1</v>
      </c>
      <c r="E6" s="3">
        <v>5</v>
      </c>
      <c r="F6" s="3">
        <v>5</v>
      </c>
      <c r="G6" s="3">
        <v>5</v>
      </c>
      <c r="H6" s="3">
        <v>5</v>
      </c>
      <c r="I6" s="3" t="e">
        <v>#DIV/0!</v>
      </c>
      <c r="J6" s="3">
        <v>0</v>
      </c>
      <c r="K6" s="3" t="e">
        <v>#DIV/0!</v>
      </c>
      <c r="L6" s="3">
        <v>0</v>
      </c>
    </row>
    <row r="7" spans="1:12" x14ac:dyDescent="0.35">
      <c r="A7" s="2" t="s">
        <v>29</v>
      </c>
      <c r="B7" s="3">
        <v>0</v>
      </c>
      <c r="C7" s="3">
        <v>1</v>
      </c>
      <c r="D7" s="3">
        <v>0</v>
      </c>
      <c r="E7" s="3" t="e">
        <v>#DIV/0!</v>
      </c>
      <c r="F7" s="3">
        <v>0</v>
      </c>
      <c r="G7" s="3">
        <v>0</v>
      </c>
      <c r="H7" s="3">
        <v>0</v>
      </c>
      <c r="I7" s="3" t="e">
        <v>#DIV/0!</v>
      </c>
      <c r="J7" s="3" t="e">
        <v>#DIV/0!</v>
      </c>
      <c r="K7" s="3" t="e">
        <v>#DIV/0!</v>
      </c>
      <c r="L7" s="3" t="e">
        <v>#DIV/0!</v>
      </c>
    </row>
    <row r="8" spans="1:12" x14ac:dyDescent="0.35">
      <c r="A8" s="2" t="s">
        <v>11</v>
      </c>
      <c r="B8" s="3" t="e">
        <v>#N/A</v>
      </c>
      <c r="C8" s="3" t="e">
        <v>#N/A</v>
      </c>
      <c r="D8" s="3" t="e">
        <v>#N/A</v>
      </c>
      <c r="E8" s="3" t="e">
        <v>#N/A</v>
      </c>
      <c r="F8" s="3" t="e">
        <v>#N/A</v>
      </c>
      <c r="G8" s="3" t="e">
        <v>#N/A</v>
      </c>
      <c r="H8" s="3" t="e">
        <v>#N/A</v>
      </c>
      <c r="I8" s="3" t="e">
        <v>#N/A</v>
      </c>
      <c r="J8" s="3" t="e">
        <v>#N/A</v>
      </c>
      <c r="K8" s="3" t="e">
        <v>#N/A</v>
      </c>
      <c r="L8" s="3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3497-C812-4139-AD85-740CD7E260AE}">
  <dimension ref="A1:B8"/>
  <sheetViews>
    <sheetView workbookViewId="0"/>
  </sheetViews>
  <sheetFormatPr defaultRowHeight="14.5" x14ac:dyDescent="0.35"/>
  <sheetData>
    <row r="1" spans="1:2" x14ac:dyDescent="0.35">
      <c r="A1" t="s">
        <v>23</v>
      </c>
      <c r="B1" t="s">
        <v>2</v>
      </c>
    </row>
    <row r="2" spans="1:2" x14ac:dyDescent="0.35">
      <c r="A2" t="s">
        <v>24</v>
      </c>
      <c r="B2" t="e">
        <f>NA()</f>
        <v>#N/A</v>
      </c>
    </row>
    <row r="3" spans="1:2" x14ac:dyDescent="0.35">
      <c r="A3" t="s">
        <v>24</v>
      </c>
      <c r="B3">
        <v>3</v>
      </c>
    </row>
    <row r="4" spans="1:2" x14ac:dyDescent="0.35">
      <c r="A4" t="s">
        <v>25</v>
      </c>
      <c r="B4" t="str">
        <f>"#N/A"</f>
        <v>#N/A</v>
      </c>
    </row>
    <row r="5" spans="1:2" x14ac:dyDescent="0.35">
      <c r="A5" t="s">
        <v>26</v>
      </c>
    </row>
    <row r="6" spans="1:2" x14ac:dyDescent="0.35">
      <c r="A6" t="s">
        <v>27</v>
      </c>
      <c r="B6">
        <v>5</v>
      </c>
    </row>
    <row r="7" spans="1:2" x14ac:dyDescent="0.35">
      <c r="A7" t="s">
        <v>28</v>
      </c>
      <c r="B7" t="b">
        <f>TRUE()</f>
        <v>1</v>
      </c>
    </row>
    <row r="8" spans="1:2" x14ac:dyDescent="0.35">
      <c r="A8" t="s">
        <v>29</v>
      </c>
      <c r="B8" t="str">
        <f>"12"</f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4FC5-3D8F-4C66-90F1-9F156D7F8302}">
  <dimension ref="A1:D6"/>
  <sheetViews>
    <sheetView workbookViewId="0"/>
  </sheetViews>
  <sheetFormatPr defaultRowHeight="14.5" x14ac:dyDescent="0.35"/>
  <cols>
    <col min="1" max="1" width="10.36328125" bestFit="1" customWidth="1"/>
    <col min="2" max="4" width="11.816406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36</v>
      </c>
      <c r="C3" s="3">
        <v>0</v>
      </c>
      <c r="D3" s="3">
        <v>80.888888888888886</v>
      </c>
    </row>
    <row r="4" spans="1:4" x14ac:dyDescent="0.35">
      <c r="A4" t="s">
        <v>7</v>
      </c>
      <c r="B4" s="3">
        <v>0</v>
      </c>
      <c r="C4" s="3">
        <v>0</v>
      </c>
      <c r="D4" s="3">
        <v>25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24.222222222222221</v>
      </c>
      <c r="C6" s="3">
        <v>6.25</v>
      </c>
      <c r="D6" s="3">
        <v>58.64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D48D-4A6F-4B39-B60E-83C60FE4623D}">
  <dimension ref="A1:D6"/>
  <sheetViews>
    <sheetView workbookViewId="0"/>
  </sheetViews>
  <sheetFormatPr defaultRowHeight="14.5" x14ac:dyDescent="0.35"/>
  <cols>
    <col min="1" max="1" width="10.36328125" bestFit="1" customWidth="1"/>
    <col min="2" max="4" width="11.816406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72</v>
      </c>
      <c r="C3" s="3" t="e">
        <v>#DIV/0!</v>
      </c>
      <c r="D3" s="3">
        <v>121.33333333333334</v>
      </c>
    </row>
    <row r="4" spans="1:4" x14ac:dyDescent="0.35">
      <c r="A4" t="s">
        <v>7</v>
      </c>
      <c r="B4" s="3" t="e">
        <v>#DIV/0!</v>
      </c>
      <c r="C4" s="3" t="e">
        <v>#DIV/0!</v>
      </c>
      <c r="D4" s="3">
        <v>50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36.333333333333329</v>
      </c>
      <c r="C6" s="3">
        <v>12.5</v>
      </c>
      <c r="D6" s="3">
        <v>73.3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2727-DD3B-490C-9C6C-44E23A1A7EAE}">
  <dimension ref="A1:D6"/>
  <sheetViews>
    <sheetView workbookViewId="0"/>
  </sheetViews>
  <sheetFormatPr defaultRowHeight="14.5" x14ac:dyDescent="0.35"/>
  <cols>
    <col min="1" max="1" width="10.36328125" bestFit="1" customWidth="1"/>
    <col min="2" max="4" width="11.816406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6</v>
      </c>
      <c r="C3" s="3">
        <v>0</v>
      </c>
      <c r="D3" s="3">
        <v>8.9938250421546933</v>
      </c>
    </row>
    <row r="4" spans="1:4" x14ac:dyDescent="0.35">
      <c r="A4" t="s">
        <v>7</v>
      </c>
      <c r="B4" s="3">
        <v>0</v>
      </c>
      <c r="C4" s="3">
        <v>0</v>
      </c>
      <c r="D4" s="3">
        <v>5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4.9216076867444665</v>
      </c>
      <c r="C6" s="3">
        <v>2.5</v>
      </c>
      <c r="D6" s="3">
        <v>7.657675887630659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8AB1-9FE2-46CF-909D-C5222AAE4748}">
  <dimension ref="A1:D6"/>
  <sheetViews>
    <sheetView workbookViewId="0"/>
  </sheetViews>
  <sheetFormatPr defaultRowHeight="14.5" x14ac:dyDescent="0.35"/>
  <cols>
    <col min="1" max="1" width="10.36328125" bestFit="1" customWidth="1"/>
    <col min="2" max="4" width="11.816406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8.4852813742385695</v>
      </c>
      <c r="C3" s="3" t="e">
        <v>#DIV/0!</v>
      </c>
      <c r="D3" s="3">
        <v>11.015141094572204</v>
      </c>
    </row>
    <row r="4" spans="1:4" x14ac:dyDescent="0.35">
      <c r="A4" t="s">
        <v>7</v>
      </c>
      <c r="B4" s="3" t="e">
        <v>#DIV/0!</v>
      </c>
      <c r="C4" s="3" t="e">
        <v>#DIV/0!</v>
      </c>
      <c r="D4" s="3">
        <v>7.0710678118654755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6.0277137733417074</v>
      </c>
      <c r="C6" s="3">
        <v>3.5355339059327378</v>
      </c>
      <c r="D6" s="3">
        <v>8.5615419172015965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8F54-D9D0-470A-A622-1AC866A99400}">
  <dimension ref="A1:D6"/>
  <sheetViews>
    <sheetView workbookViewId="0"/>
  </sheetViews>
  <sheetFormatPr defaultRowHeight="14.5" x14ac:dyDescent="0.35"/>
  <cols>
    <col min="1" max="1" width="10.36328125" bestFit="1" customWidth="1"/>
    <col min="2" max="3" width="9.6328125" bestFit="1" customWidth="1"/>
    <col min="4" max="4" width="10.363281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-20</v>
      </c>
      <c r="C3" s="3">
        <v>20</v>
      </c>
      <c r="D3" s="3">
        <v>-400</v>
      </c>
    </row>
    <row r="4" spans="1:4" x14ac:dyDescent="0.35">
      <c r="A4" t="s">
        <v>7</v>
      </c>
      <c r="B4" s="3">
        <v>5</v>
      </c>
      <c r="C4" s="3">
        <v>15</v>
      </c>
      <c r="D4" s="3">
        <v>75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-100</v>
      </c>
      <c r="C6" s="3">
        <v>300</v>
      </c>
      <c r="D6" s="3">
        <v>-30000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E771-E57D-4C48-9B8A-913F87123E4C}">
  <dimension ref="A1:D6"/>
  <sheetViews>
    <sheetView workbookViewId="0"/>
  </sheetViews>
  <sheetFormatPr defaultRowHeight="14.5" x14ac:dyDescent="0.35"/>
  <cols>
    <col min="1" max="1" width="10.36328125" bestFit="1" customWidth="1"/>
    <col min="2" max="3" width="9.6328125" bestFit="1" customWidth="1"/>
    <col min="4" max="4" width="10.363281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10</v>
      </c>
      <c r="C3" s="3">
        <v>20</v>
      </c>
      <c r="D3" s="3">
        <v>20</v>
      </c>
    </row>
    <row r="4" spans="1:4" x14ac:dyDescent="0.35">
      <c r="A4" t="s">
        <v>7</v>
      </c>
      <c r="B4" s="3">
        <v>5</v>
      </c>
      <c r="C4" s="3">
        <v>15</v>
      </c>
      <c r="D4" s="3">
        <v>15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10</v>
      </c>
      <c r="C6" s="3">
        <v>20</v>
      </c>
      <c r="D6" s="3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3399-47F3-47D2-9A1D-016145D8F614}">
  <dimension ref="A1:D6"/>
  <sheetViews>
    <sheetView workbookViewId="0"/>
  </sheetViews>
  <sheetFormatPr defaultRowHeight="14.5" x14ac:dyDescent="0.35"/>
  <cols>
    <col min="1" max="1" width="10.36328125" bestFit="1" customWidth="1"/>
    <col min="2" max="3" width="9.6328125" bestFit="1" customWidth="1"/>
    <col min="4" max="4" width="10.363281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-2</v>
      </c>
      <c r="C3" s="3">
        <v>20</v>
      </c>
      <c r="D3" s="3">
        <v>-2</v>
      </c>
    </row>
    <row r="4" spans="1:4" x14ac:dyDescent="0.35">
      <c r="A4" t="s">
        <v>7</v>
      </c>
      <c r="B4" s="3">
        <v>5</v>
      </c>
      <c r="C4" s="3">
        <v>15</v>
      </c>
      <c r="D4" s="3">
        <v>5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-2</v>
      </c>
      <c r="C6" s="3">
        <v>15</v>
      </c>
      <c r="D6" s="3">
        <v>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4D4A-8D2B-45F9-BA2F-15240B271009}">
  <dimension ref="A1:D6"/>
  <sheetViews>
    <sheetView workbookViewId="0"/>
  </sheetViews>
  <sheetFormatPr defaultRowHeight="14.5" x14ac:dyDescent="0.35"/>
  <cols>
    <col min="1" max="1" width="10.36328125" bestFit="1" customWidth="1"/>
    <col min="2" max="4" width="11.816406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4</v>
      </c>
      <c r="C3" s="3">
        <v>20</v>
      </c>
      <c r="D3" s="3">
        <v>9.3333333333333339</v>
      </c>
    </row>
    <row r="4" spans="1:4" x14ac:dyDescent="0.35">
      <c r="A4" t="s">
        <v>7</v>
      </c>
      <c r="B4" s="3">
        <v>5</v>
      </c>
      <c r="C4" s="3">
        <v>15</v>
      </c>
      <c r="D4" s="3">
        <v>10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4.333333333333333</v>
      </c>
      <c r="C6" s="3">
        <v>17.5</v>
      </c>
      <c r="D6" s="3">
        <v>9.6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3F9C-B9DF-4218-AA76-DE9F06117257}">
  <dimension ref="A1:D6"/>
  <sheetViews>
    <sheetView workbookViewId="0"/>
  </sheetViews>
  <sheetFormatPr defaultRowHeight="14.5" x14ac:dyDescent="0.35"/>
  <cols>
    <col min="1" max="1" width="10.36328125" bestFit="1" customWidth="1"/>
    <col min="2" max="3" width="9.6328125" bestFit="1" customWidth="1"/>
    <col min="4" max="4" width="10.363281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2</v>
      </c>
      <c r="C3" s="3">
        <v>1</v>
      </c>
      <c r="D3" s="3">
        <v>3</v>
      </c>
    </row>
    <row r="4" spans="1:4" x14ac:dyDescent="0.35">
      <c r="A4" t="s">
        <v>7</v>
      </c>
      <c r="B4" s="3">
        <v>1</v>
      </c>
      <c r="C4" s="3">
        <v>1</v>
      </c>
      <c r="D4" s="3">
        <v>2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3</v>
      </c>
      <c r="C6" s="3">
        <v>2</v>
      </c>
      <c r="D6" s="3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C9F4-3908-4676-9356-9D0C9B26F64E}">
  <dimension ref="A1:D6"/>
  <sheetViews>
    <sheetView workbookViewId="0"/>
  </sheetViews>
  <sheetFormatPr defaultRowHeight="14.5" x14ac:dyDescent="0.35"/>
  <cols>
    <col min="1" max="1" width="10.36328125" bestFit="1" customWidth="1"/>
    <col min="2" max="3" width="9.6328125" bestFit="1" customWidth="1"/>
    <col min="4" max="4" width="10.363281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2</v>
      </c>
      <c r="C3" s="3">
        <v>2</v>
      </c>
      <c r="D3" s="3">
        <v>4</v>
      </c>
    </row>
    <row r="4" spans="1:4" x14ac:dyDescent="0.35">
      <c r="A4" t="s">
        <v>7</v>
      </c>
      <c r="B4" s="3">
        <v>2</v>
      </c>
      <c r="C4" s="3">
        <v>1</v>
      </c>
      <c r="D4" s="3">
        <v>3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4</v>
      </c>
      <c r="C6" s="3">
        <v>3</v>
      </c>
      <c r="D6" s="3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7EB4-54D0-46F8-BB19-439B4F7B4755}">
  <dimension ref="A1:D6"/>
  <sheetViews>
    <sheetView workbookViewId="0"/>
  </sheetViews>
  <sheetFormatPr defaultRowHeight="14.5" x14ac:dyDescent="0.35"/>
  <cols>
    <col min="1" max="1" width="10.36328125" bestFit="1" customWidth="1"/>
    <col min="2" max="3" width="9.6328125" bestFit="1" customWidth="1"/>
    <col min="4" max="4" width="10.36328125" bestFit="1" customWidth="1"/>
  </cols>
  <sheetData>
    <row r="1" spans="1:4" x14ac:dyDescent="0.35">
      <c r="A1" s="1" t="s">
        <v>12</v>
      </c>
      <c r="B1" s="1" t="s">
        <v>1</v>
      </c>
    </row>
    <row r="2" spans="1:4" x14ac:dyDescent="0.35">
      <c r="A2" s="1" t="s">
        <v>0</v>
      </c>
      <c r="B2" t="s">
        <v>5</v>
      </c>
      <c r="C2" t="s">
        <v>6</v>
      </c>
      <c r="D2" t="s">
        <v>11</v>
      </c>
    </row>
    <row r="3" spans="1:4" x14ac:dyDescent="0.35">
      <c r="A3" t="s">
        <v>4</v>
      </c>
      <c r="B3" s="3">
        <v>8</v>
      </c>
      <c r="C3" s="3">
        <v>20</v>
      </c>
      <c r="D3" s="3">
        <v>28</v>
      </c>
    </row>
    <row r="4" spans="1:4" x14ac:dyDescent="0.35">
      <c r="A4" t="s">
        <v>7</v>
      </c>
      <c r="B4" s="3">
        <v>5</v>
      </c>
      <c r="C4" s="3">
        <v>15</v>
      </c>
      <c r="D4" s="3">
        <v>20</v>
      </c>
    </row>
    <row r="5" spans="1:4" x14ac:dyDescent="0.35">
      <c r="A5" t="s">
        <v>8</v>
      </c>
      <c r="B5" s="3"/>
      <c r="C5" s="3"/>
      <c r="D5" s="3"/>
    </row>
    <row r="6" spans="1:4" x14ac:dyDescent="0.35">
      <c r="A6" t="s">
        <v>11</v>
      </c>
      <c r="B6" s="3">
        <v>13</v>
      </c>
      <c r="C6" s="3">
        <v>35</v>
      </c>
      <c r="D6" s="3">
        <v>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6248-ED1D-40D3-B4CB-4907CCE5B963}">
  <dimension ref="A1:B165"/>
  <sheetViews>
    <sheetView workbookViewId="0"/>
  </sheetViews>
  <sheetFormatPr defaultRowHeight="14.5" x14ac:dyDescent="0.35"/>
  <sheetData>
    <row r="1" spans="1:2" x14ac:dyDescent="0.35">
      <c r="A1" t="s">
        <v>13</v>
      </c>
      <c r="B1">
        <f>GETPIVOTDATA("Metric",Sum!A1)</f>
        <v>48</v>
      </c>
    </row>
    <row r="2" spans="1:2" x14ac:dyDescent="0.35">
      <c r="A2" t="s">
        <v>13</v>
      </c>
      <c r="B2">
        <f>GETPIVOTDATA("Metric",Sum!A1,"Region","North")</f>
        <v>28</v>
      </c>
    </row>
    <row r="3" spans="1:2" x14ac:dyDescent="0.35">
      <c r="A3" t="s">
        <v>13</v>
      </c>
      <c r="B3">
        <f>GETPIVOTDATA("Metric",Sum!A1,"Region","South")</f>
        <v>20</v>
      </c>
    </row>
    <row r="4" spans="1:2" x14ac:dyDescent="0.35">
      <c r="A4" t="s">
        <v>13</v>
      </c>
      <c r="B4">
        <f>GETPIVOTDATA("Metric",Sum!A1,"Region","West")</f>
        <v>0</v>
      </c>
    </row>
    <row r="5" spans="1:2" x14ac:dyDescent="0.35">
      <c r="A5" t="s">
        <v>13</v>
      </c>
      <c r="B5">
        <f>GETPIVOTDATA("Metric",Sum!A1,"Product","A")</f>
        <v>13</v>
      </c>
    </row>
    <row r="6" spans="1:2" x14ac:dyDescent="0.35">
      <c r="A6" t="s">
        <v>13</v>
      </c>
      <c r="B6">
        <f>GETPIVOTDATA("Metric",Sum!A1,"Product","B")</f>
        <v>35</v>
      </c>
    </row>
    <row r="7" spans="1:2" x14ac:dyDescent="0.35">
      <c r="A7" t="s">
        <v>13</v>
      </c>
      <c r="B7">
        <f>GETPIVOTDATA("Metric",Sum!A1,"Region","North","Product","A")</f>
        <v>8</v>
      </c>
    </row>
    <row r="8" spans="1:2" x14ac:dyDescent="0.35">
      <c r="A8" t="s">
        <v>13</v>
      </c>
      <c r="B8">
        <f>GETPIVOTDATA("Metric",Sum!A1,"Region","South","Product","B")</f>
        <v>15</v>
      </c>
    </row>
    <row r="9" spans="1:2" x14ac:dyDescent="0.35">
      <c r="A9" t="s">
        <v>13</v>
      </c>
      <c r="B9" t="e">
        <f>GETPIVOTDATA("Metric",Sum!A1,"Region","missing")</f>
        <v>#REF!</v>
      </c>
    </row>
    <row r="10" spans="1:2" x14ac:dyDescent="0.35">
      <c r="A10" t="s">
        <v>14</v>
      </c>
      <c r="B10">
        <f>GETPIVOTDATA("Metric",Count!A1)</f>
        <v>7</v>
      </c>
    </row>
    <row r="11" spans="1:2" x14ac:dyDescent="0.35">
      <c r="A11" t="s">
        <v>14</v>
      </c>
      <c r="B11">
        <f>GETPIVOTDATA("Metric",Count!A1,"Region","North")</f>
        <v>4</v>
      </c>
    </row>
    <row r="12" spans="1:2" x14ac:dyDescent="0.35">
      <c r="A12" t="s">
        <v>14</v>
      </c>
      <c r="B12">
        <f>GETPIVOTDATA("Metric",Count!A1,"Region","South")</f>
        <v>3</v>
      </c>
    </row>
    <row r="13" spans="1:2" x14ac:dyDescent="0.35">
      <c r="A13" t="s">
        <v>14</v>
      </c>
      <c r="B13">
        <f>GETPIVOTDATA("Metric",Count!A1,"Region","West")</f>
        <v>0</v>
      </c>
    </row>
    <row r="14" spans="1:2" x14ac:dyDescent="0.35">
      <c r="A14" t="s">
        <v>14</v>
      </c>
      <c r="B14">
        <f>GETPIVOTDATA("Metric",Count!A1,"Product","A")</f>
        <v>4</v>
      </c>
    </row>
    <row r="15" spans="1:2" x14ac:dyDescent="0.35">
      <c r="A15" t="s">
        <v>14</v>
      </c>
      <c r="B15">
        <f>GETPIVOTDATA("Metric",Count!A1,"Product","B")</f>
        <v>3</v>
      </c>
    </row>
    <row r="16" spans="1:2" x14ac:dyDescent="0.35">
      <c r="A16" t="s">
        <v>14</v>
      </c>
      <c r="B16">
        <f>GETPIVOTDATA("Metric",Count!A1,"Region","North","Product","A")</f>
        <v>2</v>
      </c>
    </row>
    <row r="17" spans="1:2" x14ac:dyDescent="0.35">
      <c r="A17" t="s">
        <v>14</v>
      </c>
      <c r="B17">
        <f>GETPIVOTDATA("Metric",Count!A1,"Region","South","Product","B")</f>
        <v>1</v>
      </c>
    </row>
    <row r="18" spans="1:2" x14ac:dyDescent="0.35">
      <c r="A18" t="s">
        <v>14</v>
      </c>
      <c r="B18" t="e">
        <f>GETPIVOTDATA("Metric",Count!A1,"Region","missing")</f>
        <v>#REF!</v>
      </c>
    </row>
    <row r="19" spans="1:2" x14ac:dyDescent="0.35">
      <c r="A19" t="s">
        <v>15</v>
      </c>
      <c r="B19">
        <f>GETPIVOTDATA("Metric",CountNumbers!A1)</f>
        <v>5</v>
      </c>
    </row>
    <row r="20" spans="1:2" x14ac:dyDescent="0.35">
      <c r="A20" t="s">
        <v>15</v>
      </c>
      <c r="B20">
        <f>GETPIVOTDATA("Metric",CountNumbers!A1,"Region","North")</f>
        <v>3</v>
      </c>
    </row>
    <row r="21" spans="1:2" x14ac:dyDescent="0.35">
      <c r="A21" t="s">
        <v>15</v>
      </c>
      <c r="B21">
        <f>GETPIVOTDATA("Metric",CountNumbers!A1,"Region","South")</f>
        <v>2</v>
      </c>
    </row>
    <row r="22" spans="1:2" x14ac:dyDescent="0.35">
      <c r="A22" t="s">
        <v>15</v>
      </c>
      <c r="B22">
        <f>GETPIVOTDATA("Metric",CountNumbers!A1,"Region","West")</f>
        <v>0</v>
      </c>
    </row>
    <row r="23" spans="1:2" x14ac:dyDescent="0.35">
      <c r="A23" t="s">
        <v>15</v>
      </c>
      <c r="B23">
        <f>GETPIVOTDATA("Metric",CountNumbers!A1,"Product","A")</f>
        <v>3</v>
      </c>
    </row>
    <row r="24" spans="1:2" x14ac:dyDescent="0.35">
      <c r="A24" t="s">
        <v>15</v>
      </c>
      <c r="B24">
        <f>GETPIVOTDATA("Metric",CountNumbers!A1,"Product","B")</f>
        <v>2</v>
      </c>
    </row>
    <row r="25" spans="1:2" x14ac:dyDescent="0.35">
      <c r="A25" t="s">
        <v>15</v>
      </c>
      <c r="B25">
        <f>GETPIVOTDATA("Metric",CountNumbers!A1,"Region","North","Product","A")</f>
        <v>2</v>
      </c>
    </row>
    <row r="26" spans="1:2" x14ac:dyDescent="0.35">
      <c r="A26" t="s">
        <v>15</v>
      </c>
      <c r="B26">
        <f>GETPIVOTDATA("Metric",CountNumbers!A1,"Region","South","Product","B")</f>
        <v>1</v>
      </c>
    </row>
    <row r="27" spans="1:2" x14ac:dyDescent="0.35">
      <c r="A27" t="s">
        <v>15</v>
      </c>
      <c r="B27" t="e">
        <f>GETPIVOTDATA("Metric",CountNumbers!A1,"Region","missing")</f>
        <v>#REF!</v>
      </c>
    </row>
    <row r="28" spans="1:2" x14ac:dyDescent="0.35">
      <c r="A28" t="s">
        <v>16</v>
      </c>
      <c r="B28">
        <f>GETPIVOTDATA("Metric",Average!A1)</f>
        <v>9.6</v>
      </c>
    </row>
    <row r="29" spans="1:2" x14ac:dyDescent="0.35">
      <c r="A29" t="s">
        <v>16</v>
      </c>
      <c r="B29">
        <f>GETPIVOTDATA("Metric",Average!A1,"Region","North")</f>
        <v>9.3333333333333339</v>
      </c>
    </row>
    <row r="30" spans="1:2" x14ac:dyDescent="0.35">
      <c r="A30" t="s">
        <v>16</v>
      </c>
      <c r="B30">
        <f>GETPIVOTDATA("Metric",Average!A1,"Region","South")</f>
        <v>10</v>
      </c>
    </row>
    <row r="31" spans="1:2" x14ac:dyDescent="0.35">
      <c r="A31" t="s">
        <v>16</v>
      </c>
      <c r="B31">
        <f>GETPIVOTDATA("Metric",Average!A1,"Region","West")</f>
        <v>0</v>
      </c>
    </row>
    <row r="32" spans="1:2" x14ac:dyDescent="0.35">
      <c r="A32" t="s">
        <v>16</v>
      </c>
      <c r="B32">
        <f>GETPIVOTDATA("Metric",Average!A1,"Product","A")</f>
        <v>4.333333333333333</v>
      </c>
    </row>
    <row r="33" spans="1:2" x14ac:dyDescent="0.35">
      <c r="A33" t="s">
        <v>16</v>
      </c>
      <c r="B33">
        <f>GETPIVOTDATA("Metric",Average!A1,"Product","B")</f>
        <v>17.5</v>
      </c>
    </row>
    <row r="34" spans="1:2" x14ac:dyDescent="0.35">
      <c r="A34" t="s">
        <v>16</v>
      </c>
      <c r="B34">
        <f>GETPIVOTDATA("Metric",Average!A1,"Region","North","Product","A")</f>
        <v>4</v>
      </c>
    </row>
    <row r="35" spans="1:2" x14ac:dyDescent="0.35">
      <c r="A35" t="s">
        <v>16</v>
      </c>
      <c r="B35">
        <f>GETPIVOTDATA("Metric",Average!A1,"Region","South","Product","B")</f>
        <v>15</v>
      </c>
    </row>
    <row r="36" spans="1:2" x14ac:dyDescent="0.35">
      <c r="A36" t="s">
        <v>16</v>
      </c>
      <c r="B36" t="e">
        <f>GETPIVOTDATA("Metric",Average!A1,"Region","missing")</f>
        <v>#REF!</v>
      </c>
    </row>
    <row r="37" spans="1:2" x14ac:dyDescent="0.35">
      <c r="A37" t="s">
        <v>17</v>
      </c>
      <c r="B37">
        <f>GETPIVOTDATA("Metric",Minimum!A1)</f>
        <v>-2</v>
      </c>
    </row>
    <row r="38" spans="1:2" x14ac:dyDescent="0.35">
      <c r="A38" t="s">
        <v>17</v>
      </c>
      <c r="B38">
        <f>GETPIVOTDATA("Metric",Minimum!A1,"Region","North")</f>
        <v>-2</v>
      </c>
    </row>
    <row r="39" spans="1:2" x14ac:dyDescent="0.35">
      <c r="A39" t="s">
        <v>17</v>
      </c>
      <c r="B39">
        <f>GETPIVOTDATA("Metric",Minimum!A1,"Region","South")</f>
        <v>5</v>
      </c>
    </row>
    <row r="40" spans="1:2" x14ac:dyDescent="0.35">
      <c r="A40" t="s">
        <v>17</v>
      </c>
      <c r="B40">
        <f>GETPIVOTDATA("Metric",Minimum!A1,"Region","West")</f>
        <v>0</v>
      </c>
    </row>
    <row r="41" spans="1:2" x14ac:dyDescent="0.35">
      <c r="A41" t="s">
        <v>17</v>
      </c>
      <c r="B41">
        <f>GETPIVOTDATA("Metric",Minimum!A1,"Product","A")</f>
        <v>-2</v>
      </c>
    </row>
    <row r="42" spans="1:2" x14ac:dyDescent="0.35">
      <c r="A42" t="s">
        <v>17</v>
      </c>
      <c r="B42">
        <f>GETPIVOTDATA("Metric",Minimum!A1,"Product","B")</f>
        <v>15</v>
      </c>
    </row>
    <row r="43" spans="1:2" x14ac:dyDescent="0.35">
      <c r="A43" t="s">
        <v>17</v>
      </c>
      <c r="B43">
        <f>GETPIVOTDATA("Metric",Minimum!A1,"Region","North","Product","A")</f>
        <v>-2</v>
      </c>
    </row>
    <row r="44" spans="1:2" x14ac:dyDescent="0.35">
      <c r="A44" t="s">
        <v>17</v>
      </c>
      <c r="B44">
        <f>GETPIVOTDATA("Metric",Minimum!A1,"Region","South","Product","B")</f>
        <v>15</v>
      </c>
    </row>
    <row r="45" spans="1:2" x14ac:dyDescent="0.35">
      <c r="A45" t="s">
        <v>17</v>
      </c>
      <c r="B45" t="e">
        <f>GETPIVOTDATA("Metric",Minimum!A1,"Region","missing")</f>
        <v>#REF!</v>
      </c>
    </row>
    <row r="46" spans="1:2" x14ac:dyDescent="0.35">
      <c r="A46" t="s">
        <v>18</v>
      </c>
      <c r="B46">
        <f>GETPIVOTDATA("Metric",Maximum!A1)</f>
        <v>20</v>
      </c>
    </row>
    <row r="47" spans="1:2" x14ac:dyDescent="0.35">
      <c r="A47" t="s">
        <v>18</v>
      </c>
      <c r="B47">
        <f>GETPIVOTDATA("Metric",Maximum!A1,"Region","North")</f>
        <v>20</v>
      </c>
    </row>
    <row r="48" spans="1:2" x14ac:dyDescent="0.35">
      <c r="A48" t="s">
        <v>18</v>
      </c>
      <c r="B48">
        <f>GETPIVOTDATA("Metric",Maximum!A1,"Region","South")</f>
        <v>15</v>
      </c>
    </row>
    <row r="49" spans="1:2" x14ac:dyDescent="0.35">
      <c r="A49" t="s">
        <v>18</v>
      </c>
      <c r="B49">
        <f>GETPIVOTDATA("Metric",Maximum!A1,"Region","West")</f>
        <v>0</v>
      </c>
    </row>
    <row r="50" spans="1:2" x14ac:dyDescent="0.35">
      <c r="A50" t="s">
        <v>18</v>
      </c>
      <c r="B50">
        <f>GETPIVOTDATA("Metric",Maximum!A1,"Product","A")</f>
        <v>10</v>
      </c>
    </row>
    <row r="51" spans="1:2" x14ac:dyDescent="0.35">
      <c r="A51" t="s">
        <v>18</v>
      </c>
      <c r="B51">
        <f>GETPIVOTDATA("Metric",Maximum!A1,"Product","B")</f>
        <v>20</v>
      </c>
    </row>
    <row r="52" spans="1:2" x14ac:dyDescent="0.35">
      <c r="A52" t="s">
        <v>18</v>
      </c>
      <c r="B52">
        <f>GETPIVOTDATA("Metric",Maximum!A1,"Region","North","Product","A")</f>
        <v>10</v>
      </c>
    </row>
    <row r="53" spans="1:2" x14ac:dyDescent="0.35">
      <c r="A53" t="s">
        <v>18</v>
      </c>
      <c r="B53">
        <f>GETPIVOTDATA("Metric",Maximum!A1,"Region","South","Product","B")</f>
        <v>15</v>
      </c>
    </row>
    <row r="54" spans="1:2" x14ac:dyDescent="0.35">
      <c r="A54" t="s">
        <v>18</v>
      </c>
      <c r="B54" t="e">
        <f>GETPIVOTDATA("Metric",Maximum!A1,"Region","missing")</f>
        <v>#REF!</v>
      </c>
    </row>
    <row r="55" spans="1:2" x14ac:dyDescent="0.35">
      <c r="A55" t="s">
        <v>1</v>
      </c>
      <c r="B55">
        <f>GETPIVOTDATA("Metric",Product!A1)</f>
        <v>-30000</v>
      </c>
    </row>
    <row r="56" spans="1:2" x14ac:dyDescent="0.35">
      <c r="A56" t="s">
        <v>1</v>
      </c>
      <c r="B56">
        <f>GETPIVOTDATA("Metric",Product!A1,"Region","North")</f>
        <v>-400</v>
      </c>
    </row>
    <row r="57" spans="1:2" x14ac:dyDescent="0.35">
      <c r="A57" t="s">
        <v>1</v>
      </c>
      <c r="B57">
        <f>GETPIVOTDATA("Metric",Product!A1,"Region","South")</f>
        <v>75</v>
      </c>
    </row>
    <row r="58" spans="1:2" x14ac:dyDescent="0.35">
      <c r="A58" t="s">
        <v>1</v>
      </c>
      <c r="B58">
        <f>GETPIVOTDATA("Metric",Product!A1,"Region","West")</f>
        <v>0</v>
      </c>
    </row>
    <row r="59" spans="1:2" x14ac:dyDescent="0.35">
      <c r="A59" t="s">
        <v>1</v>
      </c>
      <c r="B59">
        <f>GETPIVOTDATA("Metric",Product!A1,"Product","A")</f>
        <v>-100</v>
      </c>
    </row>
    <row r="60" spans="1:2" x14ac:dyDescent="0.35">
      <c r="A60" t="s">
        <v>1</v>
      </c>
      <c r="B60">
        <f>GETPIVOTDATA("Metric",Product!A1,"Product","B")</f>
        <v>300</v>
      </c>
    </row>
    <row r="61" spans="1:2" x14ac:dyDescent="0.35">
      <c r="A61" t="s">
        <v>1</v>
      </c>
      <c r="B61">
        <f>GETPIVOTDATA("Metric",Product!A1,"Region","North","Product","A")</f>
        <v>-20</v>
      </c>
    </row>
    <row r="62" spans="1:2" x14ac:dyDescent="0.35">
      <c r="A62" t="s">
        <v>1</v>
      </c>
      <c r="B62">
        <f>GETPIVOTDATA("Metric",Product!A1,"Region","South","Product","B")</f>
        <v>15</v>
      </c>
    </row>
    <row r="63" spans="1:2" x14ac:dyDescent="0.35">
      <c r="A63" t="s">
        <v>1</v>
      </c>
      <c r="B63" t="e">
        <f>GETPIVOTDATA("Metric",Product!A1,"Region","missing")</f>
        <v>#REF!</v>
      </c>
    </row>
    <row r="64" spans="1:2" x14ac:dyDescent="0.35">
      <c r="A64" t="s">
        <v>19</v>
      </c>
      <c r="B64">
        <f>GETPIVOTDATA("Metric",StandardDeviation!A1)</f>
        <v>8.5615419172015965</v>
      </c>
    </row>
    <row r="65" spans="1:2" x14ac:dyDescent="0.35">
      <c r="A65" t="s">
        <v>19</v>
      </c>
      <c r="B65">
        <f>GETPIVOTDATA("Metric",StandardDeviation!A1,"Region","North")</f>
        <v>11.015141094572204</v>
      </c>
    </row>
    <row r="66" spans="1:2" x14ac:dyDescent="0.35">
      <c r="A66" t="s">
        <v>19</v>
      </c>
      <c r="B66">
        <f>GETPIVOTDATA("Metric",StandardDeviation!A1,"Region","South")</f>
        <v>7.0710678118654755</v>
      </c>
    </row>
    <row r="67" spans="1:2" x14ac:dyDescent="0.35">
      <c r="A67" t="s">
        <v>19</v>
      </c>
      <c r="B67">
        <f>GETPIVOTDATA("Metric",StandardDeviation!A1,"Region","West")</f>
        <v>0</v>
      </c>
    </row>
    <row r="68" spans="1:2" x14ac:dyDescent="0.35">
      <c r="A68" t="s">
        <v>19</v>
      </c>
      <c r="B68">
        <f>GETPIVOTDATA("Metric",StandardDeviation!A1,"Product","A")</f>
        <v>6.0277137733417074</v>
      </c>
    </row>
    <row r="69" spans="1:2" x14ac:dyDescent="0.35">
      <c r="A69" t="s">
        <v>19</v>
      </c>
      <c r="B69">
        <f>GETPIVOTDATA("Metric",StandardDeviation!A1,"Product","B")</f>
        <v>3.5355339059327378</v>
      </c>
    </row>
    <row r="70" spans="1:2" x14ac:dyDescent="0.35">
      <c r="A70" t="s">
        <v>19</v>
      </c>
      <c r="B70">
        <f>GETPIVOTDATA("Metric",StandardDeviation!A1,"Region","North","Product","A")</f>
        <v>8.4852813742385695</v>
      </c>
    </row>
    <row r="71" spans="1:2" x14ac:dyDescent="0.35">
      <c r="A71" t="s">
        <v>19</v>
      </c>
      <c r="B71" t="e">
        <f>GETPIVOTDATA("Metric",StandardDeviation!A1,"Region","South","Product","B")</f>
        <v>#DIV/0!</v>
      </c>
    </row>
    <row r="72" spans="1:2" x14ac:dyDescent="0.35">
      <c r="A72" t="s">
        <v>19</v>
      </c>
      <c r="B72" t="e">
        <f>GETPIVOTDATA("Metric",StandardDeviation!A1,"Region","missing")</f>
        <v>#REF!</v>
      </c>
    </row>
    <row r="73" spans="1:2" x14ac:dyDescent="0.35">
      <c r="A73" t="s">
        <v>20</v>
      </c>
      <c r="B73">
        <f>GETPIVOTDATA("Metric",StandardDeviationP!A1)</f>
        <v>7.657675887630659</v>
      </c>
    </row>
    <row r="74" spans="1:2" x14ac:dyDescent="0.35">
      <c r="A74" t="s">
        <v>20</v>
      </c>
      <c r="B74">
        <f>GETPIVOTDATA("Metric",StandardDeviationP!A1,"Region","North")</f>
        <v>8.9938250421546933</v>
      </c>
    </row>
    <row r="75" spans="1:2" x14ac:dyDescent="0.35">
      <c r="A75" t="s">
        <v>20</v>
      </c>
      <c r="B75">
        <f>GETPIVOTDATA("Metric",StandardDeviationP!A1,"Region","South")</f>
        <v>5</v>
      </c>
    </row>
    <row r="76" spans="1:2" x14ac:dyDescent="0.35">
      <c r="A76" t="s">
        <v>20</v>
      </c>
      <c r="B76">
        <f>GETPIVOTDATA("Metric",StandardDeviationP!A1,"Region","West")</f>
        <v>0</v>
      </c>
    </row>
    <row r="77" spans="1:2" x14ac:dyDescent="0.35">
      <c r="A77" t="s">
        <v>20</v>
      </c>
      <c r="B77">
        <f>GETPIVOTDATA("Metric",StandardDeviationP!A1,"Product","A")</f>
        <v>4.9216076867444665</v>
      </c>
    </row>
    <row r="78" spans="1:2" x14ac:dyDescent="0.35">
      <c r="A78" t="s">
        <v>20</v>
      </c>
      <c r="B78">
        <f>GETPIVOTDATA("Metric",StandardDeviationP!A1,"Product","B")</f>
        <v>2.5</v>
      </c>
    </row>
    <row r="79" spans="1:2" x14ac:dyDescent="0.35">
      <c r="A79" t="s">
        <v>20</v>
      </c>
      <c r="B79">
        <f>GETPIVOTDATA("Metric",StandardDeviationP!A1,"Region","North","Product","A")</f>
        <v>6</v>
      </c>
    </row>
    <row r="80" spans="1:2" x14ac:dyDescent="0.35">
      <c r="A80" t="s">
        <v>20</v>
      </c>
      <c r="B80">
        <f>GETPIVOTDATA("Metric",StandardDeviationP!A1,"Region","South","Product","B")</f>
        <v>0</v>
      </c>
    </row>
    <row r="81" spans="1:2" x14ac:dyDescent="0.35">
      <c r="A81" t="s">
        <v>20</v>
      </c>
      <c r="B81" t="e">
        <f>GETPIVOTDATA("Metric",StandardDeviationP!A1,"Region","missing")</f>
        <v>#REF!</v>
      </c>
    </row>
    <row r="82" spans="1:2" x14ac:dyDescent="0.35">
      <c r="A82" t="s">
        <v>21</v>
      </c>
      <c r="B82">
        <f>GETPIVOTDATA("Metric",Variance!A1)</f>
        <v>73.3</v>
      </c>
    </row>
    <row r="83" spans="1:2" x14ac:dyDescent="0.35">
      <c r="A83" t="s">
        <v>21</v>
      </c>
      <c r="B83">
        <f>GETPIVOTDATA("Metric",Variance!A1,"Region","North")</f>
        <v>121.33333333333334</v>
      </c>
    </row>
    <row r="84" spans="1:2" x14ac:dyDescent="0.35">
      <c r="A84" t="s">
        <v>21</v>
      </c>
      <c r="B84">
        <f>GETPIVOTDATA("Metric",Variance!A1,"Region","South")</f>
        <v>50</v>
      </c>
    </row>
    <row r="85" spans="1:2" x14ac:dyDescent="0.35">
      <c r="A85" t="s">
        <v>21</v>
      </c>
      <c r="B85">
        <f>GETPIVOTDATA("Metric",Variance!A1,"Region","West")</f>
        <v>0</v>
      </c>
    </row>
    <row r="86" spans="1:2" x14ac:dyDescent="0.35">
      <c r="A86" t="s">
        <v>21</v>
      </c>
      <c r="B86">
        <f>GETPIVOTDATA("Metric",Variance!A1,"Product","A")</f>
        <v>36.333333333333329</v>
      </c>
    </row>
    <row r="87" spans="1:2" x14ac:dyDescent="0.35">
      <c r="A87" t="s">
        <v>21</v>
      </c>
      <c r="B87">
        <f>GETPIVOTDATA("Metric",Variance!A1,"Product","B")</f>
        <v>12.5</v>
      </c>
    </row>
    <row r="88" spans="1:2" x14ac:dyDescent="0.35">
      <c r="A88" t="s">
        <v>21</v>
      </c>
      <c r="B88">
        <f>GETPIVOTDATA("Metric",Variance!A1,"Region","North","Product","A")</f>
        <v>72</v>
      </c>
    </row>
    <row r="89" spans="1:2" x14ac:dyDescent="0.35">
      <c r="A89" t="s">
        <v>21</v>
      </c>
      <c r="B89" t="e">
        <f>GETPIVOTDATA("Metric",Variance!A1,"Region","South","Product","B")</f>
        <v>#DIV/0!</v>
      </c>
    </row>
    <row r="90" spans="1:2" x14ac:dyDescent="0.35">
      <c r="A90" t="s">
        <v>21</v>
      </c>
      <c r="B90" t="e">
        <f>GETPIVOTDATA("Metric",Variance!A1,"Region","missing")</f>
        <v>#REF!</v>
      </c>
    </row>
    <row r="91" spans="1:2" x14ac:dyDescent="0.35">
      <c r="A91" t="s">
        <v>22</v>
      </c>
      <c r="B91">
        <f>GETPIVOTDATA("Metric",VarianceP!A1)</f>
        <v>58.64</v>
      </c>
    </row>
    <row r="92" spans="1:2" x14ac:dyDescent="0.35">
      <c r="A92" t="s">
        <v>22</v>
      </c>
      <c r="B92">
        <f>GETPIVOTDATA("Metric",VarianceP!A1,"Region","North")</f>
        <v>80.888888888888886</v>
      </c>
    </row>
    <row r="93" spans="1:2" x14ac:dyDescent="0.35">
      <c r="A93" t="s">
        <v>22</v>
      </c>
      <c r="B93">
        <f>GETPIVOTDATA("Metric",VarianceP!A1,"Region","South")</f>
        <v>25</v>
      </c>
    </row>
    <row r="94" spans="1:2" x14ac:dyDescent="0.35">
      <c r="A94" t="s">
        <v>22</v>
      </c>
      <c r="B94">
        <f>GETPIVOTDATA("Metric",VarianceP!A1,"Region","West")</f>
        <v>0</v>
      </c>
    </row>
    <row r="95" spans="1:2" x14ac:dyDescent="0.35">
      <c r="A95" t="s">
        <v>22</v>
      </c>
      <c r="B95">
        <f>GETPIVOTDATA("Metric",VarianceP!A1,"Product","A")</f>
        <v>24.222222222222221</v>
      </c>
    </row>
    <row r="96" spans="1:2" x14ac:dyDescent="0.35">
      <c r="A96" t="s">
        <v>22</v>
      </c>
      <c r="B96">
        <f>GETPIVOTDATA("Metric",VarianceP!A1,"Product","B")</f>
        <v>6.25</v>
      </c>
    </row>
    <row r="97" spans="1:2" x14ac:dyDescent="0.35">
      <c r="A97" t="s">
        <v>22</v>
      </c>
      <c r="B97">
        <f>GETPIVOTDATA("Metric",VarianceP!A1,"Region","North","Product","A")</f>
        <v>36</v>
      </c>
    </row>
    <row r="98" spans="1:2" x14ac:dyDescent="0.35">
      <c r="A98" t="s">
        <v>22</v>
      </c>
      <c r="B98">
        <f>GETPIVOTDATA("Metric",VarianceP!A1,"Region","South","Product","B")</f>
        <v>0</v>
      </c>
    </row>
    <row r="99" spans="1:2" x14ac:dyDescent="0.35">
      <c r="A99" t="s">
        <v>22</v>
      </c>
      <c r="B99" t="e">
        <f>GETPIVOTDATA("Metric",VarianceP!A1,"Region","missing")</f>
        <v>#REF!</v>
      </c>
    </row>
    <row r="100" spans="1:2" x14ac:dyDescent="0.35">
      <c r="A100" t="s">
        <v>30</v>
      </c>
      <c r="B100" t="e">
        <f>GETPIVOTDATA("Sum",ErrorGroups!A1,"Group","Error")</f>
        <v>#N/A</v>
      </c>
    </row>
    <row r="101" spans="1:2" x14ac:dyDescent="0.35">
      <c r="A101" t="s">
        <v>30</v>
      </c>
      <c r="B101">
        <f>GETPIVOTDATA("Sum",ErrorGroups!A1,"Group","Literal")</f>
        <v>0</v>
      </c>
    </row>
    <row r="102" spans="1:2" x14ac:dyDescent="0.35">
      <c r="A102" t="s">
        <v>30</v>
      </c>
      <c r="B102">
        <f>GETPIVOTDATA("Sum",ErrorGroups!A1,"Group","Empty")</f>
        <v>0</v>
      </c>
    </row>
    <row r="103" spans="1:2" x14ac:dyDescent="0.35">
      <c r="A103" t="s">
        <v>30</v>
      </c>
      <c r="B103">
        <f>GETPIVOTDATA("Sum",ErrorGroups!A1,"Group","Single")</f>
        <v>5</v>
      </c>
    </row>
    <row r="104" spans="1:2" x14ac:dyDescent="0.35">
      <c r="A104" t="s">
        <v>30</v>
      </c>
      <c r="B104">
        <f>GETPIVOTDATA("Sum",ErrorGroups!A1,"Group","Boolean")</f>
        <v>0</v>
      </c>
    </row>
    <row r="105" spans="1:2" x14ac:dyDescent="0.35">
      <c r="A105" t="s">
        <v>30</v>
      </c>
      <c r="B105">
        <f>GETPIVOTDATA("Sum",ErrorGroups!A1,"Group","TextNumber")</f>
        <v>0</v>
      </c>
    </row>
    <row r="106" spans="1:2" x14ac:dyDescent="0.35">
      <c r="A106" t="s">
        <v>31</v>
      </c>
      <c r="B106">
        <f>GETPIVOTDATA("Count",ErrorGroups!A1,"Group","Error")</f>
        <v>2</v>
      </c>
    </row>
    <row r="107" spans="1:2" x14ac:dyDescent="0.35">
      <c r="A107" t="s">
        <v>31</v>
      </c>
      <c r="B107">
        <f>GETPIVOTDATA("Count",ErrorGroups!A1,"Group","Literal")</f>
        <v>1</v>
      </c>
    </row>
    <row r="108" spans="1:2" x14ac:dyDescent="0.35">
      <c r="A108" t="s">
        <v>31</v>
      </c>
      <c r="B108">
        <f>GETPIVOTDATA("Count",ErrorGroups!A1,"Group","Empty")</f>
        <v>0</v>
      </c>
    </row>
    <row r="109" spans="1:2" x14ac:dyDescent="0.35">
      <c r="A109" t="s">
        <v>31</v>
      </c>
      <c r="B109">
        <f>GETPIVOTDATA("Count",ErrorGroups!A1,"Group","Single")</f>
        <v>1</v>
      </c>
    </row>
    <row r="110" spans="1:2" x14ac:dyDescent="0.35">
      <c r="A110" t="s">
        <v>31</v>
      </c>
      <c r="B110">
        <f>GETPIVOTDATA("Count",ErrorGroups!A1,"Group","Boolean")</f>
        <v>1</v>
      </c>
    </row>
    <row r="111" spans="1:2" x14ac:dyDescent="0.35">
      <c r="A111" t="s">
        <v>31</v>
      </c>
      <c r="B111">
        <f>GETPIVOTDATA("Count",ErrorGroups!A1,"Group","TextNumber")</f>
        <v>1</v>
      </c>
    </row>
    <row r="112" spans="1:2" x14ac:dyDescent="0.35">
      <c r="A112" t="s">
        <v>32</v>
      </c>
      <c r="B112">
        <f>GETPIVOTDATA("CountNumbers",ErrorGroups!A1,"Group","Error")</f>
        <v>1</v>
      </c>
    </row>
    <row r="113" spans="1:2" x14ac:dyDescent="0.35">
      <c r="A113" t="s">
        <v>32</v>
      </c>
      <c r="B113">
        <f>GETPIVOTDATA("CountNumbers",ErrorGroups!A1,"Group","Literal")</f>
        <v>0</v>
      </c>
    </row>
    <row r="114" spans="1:2" x14ac:dyDescent="0.35">
      <c r="A114" t="s">
        <v>32</v>
      </c>
      <c r="B114">
        <f>GETPIVOTDATA("CountNumbers",ErrorGroups!A1,"Group","Empty")</f>
        <v>0</v>
      </c>
    </row>
    <row r="115" spans="1:2" x14ac:dyDescent="0.35">
      <c r="A115" t="s">
        <v>32</v>
      </c>
      <c r="B115">
        <f>GETPIVOTDATA("CountNumbers",ErrorGroups!A1,"Group","Single")</f>
        <v>1</v>
      </c>
    </row>
    <row r="116" spans="1:2" x14ac:dyDescent="0.35">
      <c r="A116" t="s">
        <v>32</v>
      </c>
      <c r="B116">
        <f>GETPIVOTDATA("CountNumbers",ErrorGroups!A1,"Group","Boolean")</f>
        <v>0</v>
      </c>
    </row>
    <row r="117" spans="1:2" x14ac:dyDescent="0.35">
      <c r="A117" t="s">
        <v>32</v>
      </c>
      <c r="B117">
        <f>GETPIVOTDATA("CountNumbers",ErrorGroups!A1,"Group","TextNumber")</f>
        <v>0</v>
      </c>
    </row>
    <row r="118" spans="1:2" x14ac:dyDescent="0.35">
      <c r="A118" t="s">
        <v>33</v>
      </c>
      <c r="B118" t="e">
        <f>GETPIVOTDATA("Average",ErrorGroups!A1,"Group","Error")</f>
        <v>#N/A</v>
      </c>
    </row>
    <row r="119" spans="1:2" x14ac:dyDescent="0.35">
      <c r="A119" t="s">
        <v>33</v>
      </c>
      <c r="B119" t="e">
        <f>GETPIVOTDATA("Average",ErrorGroups!A1,"Group","Literal")</f>
        <v>#DIV/0!</v>
      </c>
    </row>
    <row r="120" spans="1:2" x14ac:dyDescent="0.35">
      <c r="A120" t="s">
        <v>33</v>
      </c>
      <c r="B120">
        <f>GETPIVOTDATA("Average",ErrorGroups!A1,"Group","Empty")</f>
        <v>0</v>
      </c>
    </row>
    <row r="121" spans="1:2" x14ac:dyDescent="0.35">
      <c r="A121" t="s">
        <v>33</v>
      </c>
      <c r="B121">
        <f>GETPIVOTDATA("Average",ErrorGroups!A1,"Group","Single")</f>
        <v>5</v>
      </c>
    </row>
    <row r="122" spans="1:2" x14ac:dyDescent="0.35">
      <c r="A122" t="s">
        <v>33</v>
      </c>
      <c r="B122" t="e">
        <f>GETPIVOTDATA("Average",ErrorGroups!A1,"Group","Boolean")</f>
        <v>#DIV/0!</v>
      </c>
    </row>
    <row r="123" spans="1:2" x14ac:dyDescent="0.35">
      <c r="A123" t="s">
        <v>33</v>
      </c>
      <c r="B123" t="e">
        <f>GETPIVOTDATA("Average",ErrorGroups!A1,"Group","TextNumber")</f>
        <v>#DIV/0!</v>
      </c>
    </row>
    <row r="124" spans="1:2" x14ac:dyDescent="0.35">
      <c r="A124" t="s">
        <v>34</v>
      </c>
      <c r="B124" t="e">
        <f>GETPIVOTDATA("Minimum",ErrorGroups!A1,"Group","Error")</f>
        <v>#N/A</v>
      </c>
    </row>
    <row r="125" spans="1:2" x14ac:dyDescent="0.35">
      <c r="A125" t="s">
        <v>34</v>
      </c>
      <c r="B125">
        <f>GETPIVOTDATA("Minimum",ErrorGroups!A1,"Group","Literal")</f>
        <v>0</v>
      </c>
    </row>
    <row r="126" spans="1:2" x14ac:dyDescent="0.35">
      <c r="A126" t="s">
        <v>34</v>
      </c>
      <c r="B126">
        <f>GETPIVOTDATA("Minimum",ErrorGroups!A1,"Group","Empty")</f>
        <v>0</v>
      </c>
    </row>
    <row r="127" spans="1:2" x14ac:dyDescent="0.35">
      <c r="A127" t="s">
        <v>34</v>
      </c>
      <c r="B127">
        <f>GETPIVOTDATA("Minimum",ErrorGroups!A1,"Group","Single")</f>
        <v>5</v>
      </c>
    </row>
    <row r="128" spans="1:2" x14ac:dyDescent="0.35">
      <c r="A128" t="s">
        <v>34</v>
      </c>
      <c r="B128">
        <f>GETPIVOTDATA("Minimum",ErrorGroups!A1,"Group","Boolean")</f>
        <v>0</v>
      </c>
    </row>
    <row r="129" spans="1:2" x14ac:dyDescent="0.35">
      <c r="A129" t="s">
        <v>34</v>
      </c>
      <c r="B129">
        <f>GETPIVOTDATA("Minimum",ErrorGroups!A1,"Group","TextNumber")</f>
        <v>0</v>
      </c>
    </row>
    <row r="130" spans="1:2" x14ac:dyDescent="0.35">
      <c r="A130" t="s">
        <v>35</v>
      </c>
      <c r="B130" t="e">
        <f>GETPIVOTDATA("Maximum",ErrorGroups!A1,"Group","Error")</f>
        <v>#N/A</v>
      </c>
    </row>
    <row r="131" spans="1:2" x14ac:dyDescent="0.35">
      <c r="A131" t="s">
        <v>35</v>
      </c>
      <c r="B131">
        <f>GETPIVOTDATA("Maximum",ErrorGroups!A1,"Group","Literal")</f>
        <v>0</v>
      </c>
    </row>
    <row r="132" spans="1:2" x14ac:dyDescent="0.35">
      <c r="A132" t="s">
        <v>35</v>
      </c>
      <c r="B132">
        <f>GETPIVOTDATA("Maximum",ErrorGroups!A1,"Group","Empty")</f>
        <v>0</v>
      </c>
    </row>
    <row r="133" spans="1:2" x14ac:dyDescent="0.35">
      <c r="A133" t="s">
        <v>35</v>
      </c>
      <c r="B133">
        <f>GETPIVOTDATA("Maximum",ErrorGroups!A1,"Group","Single")</f>
        <v>5</v>
      </c>
    </row>
    <row r="134" spans="1:2" x14ac:dyDescent="0.35">
      <c r="A134" t="s">
        <v>35</v>
      </c>
      <c r="B134">
        <f>GETPIVOTDATA("Maximum",ErrorGroups!A1,"Group","Boolean")</f>
        <v>0</v>
      </c>
    </row>
    <row r="135" spans="1:2" x14ac:dyDescent="0.35">
      <c r="A135" t="s">
        <v>35</v>
      </c>
      <c r="B135">
        <f>GETPIVOTDATA("Maximum",ErrorGroups!A1,"Group","TextNumber")</f>
        <v>0</v>
      </c>
    </row>
    <row r="136" spans="1:2" x14ac:dyDescent="0.35">
      <c r="A136" t="s">
        <v>36</v>
      </c>
      <c r="B136" t="e">
        <f>GETPIVOTDATA("Product",ErrorGroups!A1,"Group","Error")</f>
        <v>#N/A</v>
      </c>
    </row>
    <row r="137" spans="1:2" x14ac:dyDescent="0.35">
      <c r="A137" t="s">
        <v>36</v>
      </c>
      <c r="B137">
        <f>GETPIVOTDATA("Product",ErrorGroups!A1,"Group","Literal")</f>
        <v>0</v>
      </c>
    </row>
    <row r="138" spans="1:2" x14ac:dyDescent="0.35">
      <c r="A138" t="s">
        <v>36</v>
      </c>
      <c r="B138">
        <f>GETPIVOTDATA("Product",ErrorGroups!A1,"Group","Empty")</f>
        <v>0</v>
      </c>
    </row>
    <row r="139" spans="1:2" x14ac:dyDescent="0.35">
      <c r="A139" t="s">
        <v>36</v>
      </c>
      <c r="B139">
        <f>GETPIVOTDATA("Product",ErrorGroups!A1,"Group","Single")</f>
        <v>5</v>
      </c>
    </row>
    <row r="140" spans="1:2" x14ac:dyDescent="0.35">
      <c r="A140" t="s">
        <v>36</v>
      </c>
      <c r="B140">
        <f>GETPIVOTDATA("Product",ErrorGroups!A1,"Group","Boolean")</f>
        <v>0</v>
      </c>
    </row>
    <row r="141" spans="1:2" x14ac:dyDescent="0.35">
      <c r="A141" t="s">
        <v>36</v>
      </c>
      <c r="B141">
        <f>GETPIVOTDATA("Product",ErrorGroups!A1,"Group","TextNumber")</f>
        <v>0</v>
      </c>
    </row>
    <row r="142" spans="1:2" x14ac:dyDescent="0.35">
      <c r="A142" t="s">
        <v>37</v>
      </c>
      <c r="B142" t="e">
        <f>GETPIVOTDATA("StandardDeviation",ErrorGroups!A1,"Group","Error")</f>
        <v>#N/A</v>
      </c>
    </row>
    <row r="143" spans="1:2" x14ac:dyDescent="0.35">
      <c r="A143" t="s">
        <v>37</v>
      </c>
      <c r="B143" t="e">
        <f>GETPIVOTDATA("StandardDeviation",ErrorGroups!A1,"Group","Literal")</f>
        <v>#DIV/0!</v>
      </c>
    </row>
    <row r="144" spans="1:2" x14ac:dyDescent="0.35">
      <c r="A144" t="s">
        <v>37</v>
      </c>
      <c r="B144">
        <f>GETPIVOTDATA("StandardDeviation",ErrorGroups!A1,"Group","Empty")</f>
        <v>0</v>
      </c>
    </row>
    <row r="145" spans="1:2" x14ac:dyDescent="0.35">
      <c r="A145" t="s">
        <v>37</v>
      </c>
      <c r="B145" t="e">
        <f>GETPIVOTDATA("StandardDeviation",ErrorGroups!A1,"Group","Single")</f>
        <v>#DIV/0!</v>
      </c>
    </row>
    <row r="146" spans="1:2" x14ac:dyDescent="0.35">
      <c r="A146" t="s">
        <v>37</v>
      </c>
      <c r="B146" t="e">
        <f>GETPIVOTDATA("StandardDeviation",ErrorGroups!A1,"Group","Boolean")</f>
        <v>#DIV/0!</v>
      </c>
    </row>
    <row r="147" spans="1:2" x14ac:dyDescent="0.35">
      <c r="A147" t="s">
        <v>37</v>
      </c>
      <c r="B147" t="e">
        <f>GETPIVOTDATA("StandardDeviation",ErrorGroups!A1,"Group","TextNumber")</f>
        <v>#DIV/0!</v>
      </c>
    </row>
    <row r="148" spans="1:2" x14ac:dyDescent="0.35">
      <c r="A148" t="s">
        <v>38</v>
      </c>
      <c r="B148" t="e">
        <f>GETPIVOTDATA("StandardDeviationP",ErrorGroups!A1,"Group","Error")</f>
        <v>#N/A</v>
      </c>
    </row>
    <row r="149" spans="1:2" x14ac:dyDescent="0.35">
      <c r="A149" t="s">
        <v>38</v>
      </c>
      <c r="B149" t="e">
        <f>GETPIVOTDATA("StandardDeviationP",ErrorGroups!A1,"Group","Literal")</f>
        <v>#DIV/0!</v>
      </c>
    </row>
    <row r="150" spans="1:2" x14ac:dyDescent="0.35">
      <c r="A150" t="s">
        <v>38</v>
      </c>
      <c r="B150">
        <f>GETPIVOTDATA("StandardDeviationP",ErrorGroups!A1,"Group","Empty")</f>
        <v>0</v>
      </c>
    </row>
    <row r="151" spans="1:2" x14ac:dyDescent="0.35">
      <c r="A151" t="s">
        <v>38</v>
      </c>
      <c r="B151">
        <f>GETPIVOTDATA("StandardDeviationP",ErrorGroups!A1,"Group","Single")</f>
        <v>0</v>
      </c>
    </row>
    <row r="152" spans="1:2" x14ac:dyDescent="0.35">
      <c r="A152" t="s">
        <v>38</v>
      </c>
      <c r="B152" t="e">
        <f>GETPIVOTDATA("StandardDeviationP",ErrorGroups!A1,"Group","Boolean")</f>
        <v>#DIV/0!</v>
      </c>
    </row>
    <row r="153" spans="1:2" x14ac:dyDescent="0.35">
      <c r="A153" t="s">
        <v>38</v>
      </c>
      <c r="B153" t="e">
        <f>GETPIVOTDATA("StandardDeviationP",ErrorGroups!A1,"Group","TextNumber")</f>
        <v>#DIV/0!</v>
      </c>
    </row>
    <row r="154" spans="1:2" x14ac:dyDescent="0.35">
      <c r="A154" t="s">
        <v>39</v>
      </c>
      <c r="B154" t="e">
        <f>GETPIVOTDATA("Variance",ErrorGroups!A1,"Group","Error")</f>
        <v>#N/A</v>
      </c>
    </row>
    <row r="155" spans="1:2" x14ac:dyDescent="0.35">
      <c r="A155" t="s">
        <v>39</v>
      </c>
      <c r="B155" t="e">
        <f>GETPIVOTDATA("Variance",ErrorGroups!A1,"Group","Literal")</f>
        <v>#DIV/0!</v>
      </c>
    </row>
    <row r="156" spans="1:2" x14ac:dyDescent="0.35">
      <c r="A156" t="s">
        <v>39</v>
      </c>
      <c r="B156">
        <f>GETPIVOTDATA("Variance",ErrorGroups!A1,"Group","Empty")</f>
        <v>0</v>
      </c>
    </row>
    <row r="157" spans="1:2" x14ac:dyDescent="0.35">
      <c r="A157" t="s">
        <v>39</v>
      </c>
      <c r="B157" t="e">
        <f>GETPIVOTDATA("Variance",ErrorGroups!A1,"Group","Single")</f>
        <v>#DIV/0!</v>
      </c>
    </row>
    <row r="158" spans="1:2" x14ac:dyDescent="0.35">
      <c r="A158" t="s">
        <v>39</v>
      </c>
      <c r="B158" t="e">
        <f>GETPIVOTDATA("Variance",ErrorGroups!A1,"Group","Boolean")</f>
        <v>#DIV/0!</v>
      </c>
    </row>
    <row r="159" spans="1:2" x14ac:dyDescent="0.35">
      <c r="A159" t="s">
        <v>39</v>
      </c>
      <c r="B159" t="e">
        <f>GETPIVOTDATA("Variance",ErrorGroups!A1,"Group","TextNumber")</f>
        <v>#DIV/0!</v>
      </c>
    </row>
    <row r="160" spans="1:2" x14ac:dyDescent="0.35">
      <c r="A160" t="s">
        <v>40</v>
      </c>
      <c r="B160" t="e">
        <f>GETPIVOTDATA("VarianceP",ErrorGroups!A1,"Group","Error")</f>
        <v>#N/A</v>
      </c>
    </row>
    <row r="161" spans="1:2" x14ac:dyDescent="0.35">
      <c r="A161" t="s">
        <v>40</v>
      </c>
      <c r="B161" t="e">
        <f>GETPIVOTDATA("VarianceP",ErrorGroups!A1,"Group","Literal")</f>
        <v>#DIV/0!</v>
      </c>
    </row>
    <row r="162" spans="1:2" x14ac:dyDescent="0.35">
      <c r="A162" t="s">
        <v>40</v>
      </c>
      <c r="B162">
        <f>GETPIVOTDATA("VarianceP",ErrorGroups!A1,"Group","Empty")</f>
        <v>0</v>
      </c>
    </row>
    <row r="163" spans="1:2" x14ac:dyDescent="0.35">
      <c r="A163" t="s">
        <v>40</v>
      </c>
      <c r="B163">
        <f>GETPIVOTDATA("VarianceP",ErrorGroups!A1,"Group","Single")</f>
        <v>0</v>
      </c>
    </row>
    <row r="164" spans="1:2" x14ac:dyDescent="0.35">
      <c r="A164" t="s">
        <v>40</v>
      </c>
      <c r="B164" t="e">
        <f>GETPIVOTDATA("VarianceP",ErrorGroups!A1,"Group","Boolean")</f>
        <v>#DIV/0!</v>
      </c>
    </row>
    <row r="165" spans="1:2" x14ac:dyDescent="0.35">
      <c r="A165" t="s">
        <v>40</v>
      </c>
      <c r="B165" t="e">
        <f>GETPIVOTDATA("VarianceP",ErrorGroups!A1,"Group","TextNumber")</f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1B02-5BDB-4B2E-B689-AACCB895950D}">
  <dimension ref="A1:D9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10</v>
      </c>
      <c r="D2">
        <v>2</v>
      </c>
    </row>
    <row r="3" spans="1:4" x14ac:dyDescent="0.35">
      <c r="A3" t="s">
        <v>4</v>
      </c>
      <c r="B3" t="s">
        <v>6</v>
      </c>
      <c r="C3">
        <v>20</v>
      </c>
      <c r="D3">
        <v>3</v>
      </c>
    </row>
    <row r="4" spans="1:4" x14ac:dyDescent="0.35">
      <c r="A4" t="s">
        <v>7</v>
      </c>
      <c r="B4" t="s">
        <v>5</v>
      </c>
      <c r="C4">
        <v>5</v>
      </c>
      <c r="D4">
        <v>1</v>
      </c>
    </row>
    <row r="5" spans="1:4" x14ac:dyDescent="0.35">
      <c r="A5" t="s">
        <v>7</v>
      </c>
      <c r="B5" t="s">
        <v>6</v>
      </c>
      <c r="C5">
        <v>15</v>
      </c>
      <c r="D5">
        <v>4</v>
      </c>
    </row>
    <row r="6" spans="1:4" x14ac:dyDescent="0.35">
      <c r="A6" t="s">
        <v>4</v>
      </c>
      <c r="B6" t="s">
        <v>5</v>
      </c>
      <c r="C6">
        <v>-2</v>
      </c>
      <c r="D6">
        <v>1</v>
      </c>
    </row>
    <row r="7" spans="1:4" x14ac:dyDescent="0.35">
      <c r="A7" t="s">
        <v>8</v>
      </c>
      <c r="B7" t="s">
        <v>6</v>
      </c>
      <c r="D7">
        <v>5</v>
      </c>
    </row>
    <row r="8" spans="1:4" x14ac:dyDescent="0.35">
      <c r="A8" t="s">
        <v>7</v>
      </c>
      <c r="B8" t="s">
        <v>5</v>
      </c>
      <c r="C8" t="s">
        <v>9</v>
      </c>
      <c r="D8">
        <v>2</v>
      </c>
    </row>
    <row r="9" spans="1:4" x14ac:dyDescent="0.35">
      <c r="A9" t="s">
        <v>4</v>
      </c>
      <c r="B9" t="s">
        <v>6</v>
      </c>
      <c r="C9" t="b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LookupEdges</vt:lpstr>
      <vt:lpstr>ErrorGroups</vt:lpstr>
      <vt:lpstr>ErrorSource</vt:lpstr>
      <vt:lpstr>VarianceP</vt:lpstr>
      <vt:lpstr>Variance</vt:lpstr>
      <vt:lpstr>StandardDeviationP</vt:lpstr>
      <vt:lpstr>StandardDeviation</vt:lpstr>
      <vt:lpstr>Product</vt:lpstr>
      <vt:lpstr>Maximum</vt:lpstr>
      <vt:lpstr>Minimum</vt:lpstr>
      <vt:lpstr>Average</vt:lpstr>
      <vt:lpstr>CountNumbers</vt:lpstr>
      <vt:lpstr>Count</vt:lpstr>
      <vt:lpstr>Sum</vt:lpstr>
      <vt:lpstr>Lookups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2026-09-27T13:48:38Z</dcterms:created>
  <dcterms:modified xsi:type="dcterms:W3CDTF">2026-09-27T13:48:40Z</dcterms:modified>
</cp:coreProperties>
</file>