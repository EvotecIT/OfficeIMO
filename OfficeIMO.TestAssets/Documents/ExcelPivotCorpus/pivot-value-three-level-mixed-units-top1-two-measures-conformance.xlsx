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1A71CD4B-86CF-404F-8826-29B55B4E3497}" xr6:coauthVersionLast="47" xr6:coauthVersionMax="47" xr10:uidLastSave="{00000000-0000-0000-0000-000000000000}"/>
  <bookViews>
    <workbookView xWindow="-120" yWindow="-120" windowWidth="38640" windowHeight="10320" xr2:uid="{2D9121B1-0EE1-4F86-8D39-55CA4FCAE225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8" i="3"/>
  <c r="C7" i="3"/>
  <c r="C6" i="3"/>
  <c r="C5" i="3"/>
  <c r="C4" i="3"/>
  <c r="C3" i="3"/>
  <c r="C2" i="3"/>
  <c r="C1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<sst xmlns="http://schemas.openxmlformats.org/spreadsheetml/2006/main" count="63" uniqueCount="20">
  <si>
    <t>Region</t>
  </si>
  <si>
    <t>Product</t>
  </si>
  <si>
    <t>Channel</t>
  </si>
  <si>
    <t>Sales</t>
  </si>
  <si>
    <t>Units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</si>
  <si>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</si>
  <si>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</si>
  <si>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</si>
  <si>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</si>
  <si>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</si>
  <si>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</si>
  <si>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</si>
  <si>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</si>
  <si>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</si>
  <si>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Total Metric</t>
  </si>
  <si>
    <t>Total UnitsMetric</t>
  </si>
  <si>
    <t>UnitsMetric</t>
  </si>
  <si>
    <t>Values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</si>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</sst>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5985300926" createdVersion="6" refreshedVersion="8" minRefreshableVersion="3" recordCount="12" xr:uid="{AB88EF16-D860-4E6D-95BB-CF784B807097}">
  <cacheSource type="worksheet">
    <worksheetSource ref="A1:E13" sheet="Source"/>
  </cacheSource>
  <cacheFields count="5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  <cacheField name="Units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  <n v="1"/>
  </r>
  <r>
    <x v="0"/>
    <x v="0"/>
    <x v="1"/>
    <n v="30"/>
    <n v="1"/>
  </r>
  <r>
    <x v="0"/>
    <x v="0"/>
    <x v="2"/>
    <n v="20"/>
    <n v="1"/>
  </r>
  <r>
    <x v="0"/>
    <x v="1"/>
    <x v="0"/>
    <n v="40"/>
    <n v="10"/>
  </r>
  <r>
    <x v="0"/>
    <x v="1"/>
    <x v="1"/>
    <n v="20"/>
    <n v="10"/>
  </r>
  <r>
    <x v="0"/>
    <x v="1"/>
    <x v="2"/>
    <n v="5"/>
    <n v="10"/>
  </r>
  <r>
    <x v="1"/>
    <x v="0"/>
    <x v="0"/>
    <n v="5"/>
    <n v="10"/>
  </r>
  <r>
    <x v="1"/>
    <x v="0"/>
    <x v="1"/>
    <n v="25"/>
    <n v="10"/>
  </r>
  <r>
    <x v="1"/>
    <x v="0"/>
    <x v="2"/>
    <n v="15"/>
    <n v="10"/>
  </r>
  <r>
    <x v="1"/>
    <x v="1"/>
    <x v="0"/>
    <n v="35"/>
    <n v="1"/>
  </r>
  <r>
    <x v="1"/>
    <x v="1"/>
    <x v="1"/>
    <n v="15"/>
    <n v="1"/>
  </r>
  <r>
    <x v="1"/>
    <x v="1"/>
    <x v="2"/>
    <n v="4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0DFF7-5AF5-4B1C-B80A-FFACD22A5507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J11" firstHeaderRow="1" firstDataRow="3" firstDataCol="2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5">
    <i>
      <x/>
      <x v="1"/>
    </i>
    <i t="default">
      <x/>
    </i>
    <i>
      <x v="1"/>
      <x/>
    </i>
    <i t="default">
      <x v="1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Metric" fld="3" baseField="0" baseItem="0"/>
    <dataField name="UnitsMetric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1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1687-A493-4460-B136-1324C96D0882}">
  <dimension ref="B1:C13"/>
  <sheetViews>
    <sheetView tabSelected="1" workbookViewId="0"/>
  </sheetViews>
  <sheetFormatPr defaultRowHeight="15" x14ac:dyDescent="0.25"/>
  <sheetData>
    <row r="1" spans="2:3" x14ac:dyDescent="0.25">
      <c r="B1">
        <f>GETPIVOTDATA("Metric",Grouped!$A$4)</f>
        <v>110</v>
      </c>
      <c r="C1">
        <f>GETPIVOTDATA("UnitsMetric",Grouped!$A$4)</f>
        <v>60</v>
      </c>
    </row>
    <row r="2" spans="2:3" x14ac:dyDescent="0.25">
      <c r="B2" t="e">
        <f>GETPIVOTDATA("Metric",Grouped!$A$4,"Region","East","Product","A","Channel","Retail")</f>
        <v>#REF!</v>
      </c>
      <c r="C2" t="e">
        <f>GETPIVOTDATA("UnitsMetric",Grouped!$A$4,"Region","East","Product","A","Channel","Retail")</f>
        <v>#REF!</v>
      </c>
    </row>
    <row r="3" spans="2:3" x14ac:dyDescent="0.25">
      <c r="B3" t="e">
        <f>GETPIVOTDATA("Metric",Grouped!$A$4,"Region","East","Product","A","Channel","Online")</f>
        <v>#REF!</v>
      </c>
      <c r="C3" t="e">
        <f>GETPIVOTDATA("UnitsMetric",Grouped!$A$4,"Region","East","Product","A","Channel","Online")</f>
        <v>#REF!</v>
      </c>
    </row>
    <row r="4" spans="2:3" x14ac:dyDescent="0.25">
      <c r="B4" t="e">
        <f>GETPIVOTDATA("Metric",Grouped!$A$4,"Region","East","Product","A","Channel","Partner")</f>
        <v>#REF!</v>
      </c>
      <c r="C4" t="e">
        <f>GETPIVOTDATA("UnitsMetric",Grouped!$A$4,"Region","East","Product","A","Channel","Partner")</f>
        <v>#REF!</v>
      </c>
    </row>
    <row r="5" spans="2:3" x14ac:dyDescent="0.25">
      <c r="B5">
        <f>GETPIVOTDATA("Metric",Grouped!$A$4,"Region","East","Product","B","Channel","Retail")</f>
        <v>40</v>
      </c>
      <c r="C5">
        <f>GETPIVOTDATA("UnitsMetric",Grouped!$A$4,"Region","East","Product","B","Channel","Retail")</f>
        <v>10</v>
      </c>
    </row>
    <row r="6" spans="2:3" x14ac:dyDescent="0.25">
      <c r="B6">
        <f>GETPIVOTDATA("Metric",Grouped!$A$4,"Region","East","Product","B","Channel","Online")</f>
        <v>20</v>
      </c>
      <c r="C6">
        <f>GETPIVOTDATA("UnitsMetric",Grouped!$A$4,"Region","East","Product","B","Channel","Online")</f>
        <v>10</v>
      </c>
    </row>
    <row r="7" spans="2:3" x14ac:dyDescent="0.25">
      <c r="B7">
        <f>GETPIVOTDATA("Metric",Grouped!$A$4,"Region","East","Product","B","Channel","Partner")</f>
        <v>5</v>
      </c>
      <c r="C7">
        <f>GETPIVOTDATA("UnitsMetric",Grouped!$A$4,"Region","East","Product","B","Channel","Partner")</f>
        <v>10</v>
      </c>
    </row>
    <row r="8" spans="2:3" x14ac:dyDescent="0.25">
      <c r="B8">
        <f>GETPIVOTDATA("Metric",Grouped!$A$4,"Region","West","Product","A","Channel","Retail")</f>
        <v>5</v>
      </c>
      <c r="C8">
        <f>GETPIVOTDATA("UnitsMetric",Grouped!$A$4,"Region","West","Product","A","Channel","Retail")</f>
        <v>10</v>
      </c>
    </row>
    <row r="9" spans="2:3" x14ac:dyDescent="0.25">
      <c r="B9">
        <f>GETPIVOTDATA("Metric",Grouped!$A$4,"Region","West","Product","A","Channel","Online")</f>
        <v>25</v>
      </c>
      <c r="C9">
        <f>GETPIVOTDATA("UnitsMetric",Grouped!$A$4,"Region","West","Product","A","Channel","Online")</f>
        <v>10</v>
      </c>
    </row>
    <row r="10" spans="2:3" x14ac:dyDescent="0.25">
      <c r="B10">
        <f>GETPIVOTDATA("Metric",Grouped!$A$4,"Region","West","Product","A","Channel","Partner")</f>
        <v>15</v>
      </c>
      <c r="C10">
        <f>GETPIVOTDATA("UnitsMetric",Grouped!$A$4,"Region","West","Product","A","Channel","Partner")</f>
        <v>10</v>
      </c>
    </row>
    <row r="11" spans="2:3" x14ac:dyDescent="0.25">
      <c r="B11" t="e">
        <f>GETPIVOTDATA("Metric",Grouped!$A$4,"Region","West","Product","B","Channel","Retail")</f>
        <v>#REF!</v>
      </c>
      <c r="C11" t="e">
        <f>GETPIVOTDATA("UnitsMetric",Grouped!$A$4,"Region","West","Product","B","Channel","Retail")</f>
        <v>#REF!</v>
      </c>
    </row>
    <row r="12" spans="2:3" x14ac:dyDescent="0.25">
      <c r="B12" t="e">
        <f>GETPIVOTDATA("Metric",Grouped!$A$4,"Region","West","Product","B","Channel","Online")</f>
        <v>#REF!</v>
      </c>
      <c r="C12" t="e">
        <f>GETPIVOTDATA("UnitsMetric",Grouped!$A$4,"Region","West","Product","B","Channel","Online")</f>
        <v>#REF!</v>
      </c>
    </row>
    <row r="13" spans="2:3" x14ac:dyDescent="0.25">
      <c r="B13" t="e">
        <f>GETPIVOTDATA("Metric",Grouped!$A$4,"Region","West","Product","B","Channel","Partner")</f>
        <v>#REF!</v>
      </c>
      <c r="C13" t="e">
        <f>GETPIVOTDATA("UnitsMetric",Grouped!$A$4,"Region","West","Product","B","Channel","Partner")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F4D5-8676-485C-BA4C-50B6B8A80092}">
  <dimension ref="A4:J11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8" width="11.42578125" bestFit="1" customWidth="1"/>
    <col min="9" max="9" width="11.5703125" bestFit="1" customWidth="1"/>
    <col min="10" max="10" width="16.42578125" bestFit="1" customWidth="1"/>
  </cols>
  <sheetData>
    <row r="4" spans="1:10" x14ac:dyDescent="0.25">
      <c r="C4" s="1" t="s">
        <v>2</v>
      </c>
      <c r="D4" s="1" t="s">
        <v>17</v>
      </c>
    </row>
    <row r="5" spans="1:10" x14ac:dyDescent="0.25">
      <c r="C5" t="s">
        <v>8</v>
      </c>
      <c r="E5" t="s">
        <v>9</v>
      </c>
      <c r="G5" t="s">
        <v>7</v>
      </c>
      <c r="I5" t="s">
        <v>14</v>
      </c>
      <c r="J5" t="s">
        <v>15</v>
      </c>
    </row>
    <row r="6" spans="1:10" x14ac:dyDescent="0.25">
      <c r="A6" s="1" t="s">
        <v>0</v>
      </c>
      <c r="B6" s="1" t="s">
        <v>1</v>
      </c>
      <c r="C6" t="s">
        <v>13</v>
      </c>
      <c r="D6" t="s">
        <v>16</v>
      </c>
      <c r="E6" t="s">
        <v>13</v>
      </c>
      <c r="F6" t="s">
        <v>16</v>
      </c>
      <c r="G6" t="s">
        <v>13</v>
      </c>
      <c r="H6" t="s">
        <v>16</v>
      </c>
    </row>
    <row r="7" spans="1:10" x14ac:dyDescent="0.25">
      <c r="A7" t="s">
        <v>5</v>
      </c>
      <c r="B7" t="s">
        <v>10</v>
      </c>
      <c r="C7" s="2">
        <v>20</v>
      </c>
      <c r="D7" s="2">
        <v>10</v>
      </c>
      <c r="E7" s="2">
        <v>5</v>
      </c>
      <c r="F7" s="2">
        <v>10</v>
      </c>
      <c r="G7" s="2">
        <v>40</v>
      </c>
      <c r="H7" s="2">
        <v>10</v>
      </c>
      <c r="I7" s="2">
        <v>65</v>
      </c>
      <c r="J7" s="2">
        <v>30</v>
      </c>
    </row>
    <row r="8" spans="1:10" x14ac:dyDescent="0.25">
      <c r="A8" t="s">
        <v>18</v>
      </c>
      <c r="C8" s="2">
        <v>20</v>
      </c>
      <c r="D8" s="2">
        <v>10</v>
      </c>
      <c r="E8" s="2">
        <v>5</v>
      </c>
      <c r="F8" s="2">
        <v>10</v>
      </c>
      <c r="G8" s="2">
        <v>40</v>
      </c>
      <c r="H8" s="2">
        <v>10</v>
      </c>
      <c r="I8" s="2">
        <v>65</v>
      </c>
      <c r="J8" s="2">
        <v>30</v>
      </c>
    </row>
    <row r="9" spans="1:10" x14ac:dyDescent="0.25">
      <c r="A9" t="s">
        <v>11</v>
      </c>
      <c r="B9" t="s">
        <v>6</v>
      </c>
      <c r="C9" s="2">
        <v>25</v>
      </c>
      <c r="D9" s="2">
        <v>10</v>
      </c>
      <c r="E9" s="2">
        <v>15</v>
      </c>
      <c r="F9" s="2">
        <v>10</v>
      </c>
      <c r="G9" s="2">
        <v>5</v>
      </c>
      <c r="H9" s="2">
        <v>10</v>
      </c>
      <c r="I9" s="2">
        <v>45</v>
      </c>
      <c r="J9" s="2">
        <v>30</v>
      </c>
    </row>
    <row r="10" spans="1:10" x14ac:dyDescent="0.25">
      <c r="A10" t="s">
        <v>19</v>
      </c>
      <c r="C10" s="2">
        <v>25</v>
      </c>
      <c r="D10" s="2">
        <v>10</v>
      </c>
      <c r="E10" s="2">
        <v>15</v>
      </c>
      <c r="F10" s="2">
        <v>10</v>
      </c>
      <c r="G10" s="2">
        <v>5</v>
      </c>
      <c r="H10" s="2">
        <v>10</v>
      </c>
      <c r="I10" s="2">
        <v>45</v>
      </c>
      <c r="J10" s="2">
        <v>30</v>
      </c>
    </row>
    <row r="11" spans="1:10" x14ac:dyDescent="0.25">
      <c r="A11" t="s">
        <v>12</v>
      </c>
      <c r="C11" s="2">
        <v>45</v>
      </c>
      <c r="D11" s="2">
        <v>20</v>
      </c>
      <c r="E11" s="2">
        <v>20</v>
      </c>
      <c r="F11" s="2">
        <v>20</v>
      </c>
      <c r="G11" s="2">
        <v>45</v>
      </c>
      <c r="H11" s="2">
        <v>20</v>
      </c>
      <c r="I11" s="2">
        <v>110</v>
      </c>
      <c r="J11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1800-FF77-49A2-92BD-9AA8CBDEB78A}">
  <dimension ref="A1:E13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6</v>
      </c>
      <c r="C3" t="s">
        <v>8</v>
      </c>
      <c r="D3">
        <v>30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>
        <v>20</v>
      </c>
      <c r="E4">
        <v>1</v>
      </c>
    </row>
    <row r="5" spans="1:5" x14ac:dyDescent="0.25">
      <c r="A5" t="s">
        <v>5</v>
      </c>
      <c r="B5" t="s">
        <v>10</v>
      </c>
      <c r="C5" t="s">
        <v>7</v>
      </c>
      <c r="D5">
        <v>40</v>
      </c>
      <c r="E5">
        <v>10</v>
      </c>
    </row>
    <row r="6" spans="1:5" x14ac:dyDescent="0.25">
      <c r="A6" t="s">
        <v>5</v>
      </c>
      <c r="B6" t="s">
        <v>10</v>
      </c>
      <c r="C6" t="s">
        <v>8</v>
      </c>
      <c r="D6">
        <v>20</v>
      </c>
      <c r="E6">
        <v>10</v>
      </c>
    </row>
    <row r="7" spans="1:5" x14ac:dyDescent="0.25">
      <c r="A7" t="s">
        <v>5</v>
      </c>
      <c r="B7" t="s">
        <v>10</v>
      </c>
      <c r="C7" t="s">
        <v>9</v>
      </c>
      <c r="D7">
        <v>5</v>
      </c>
      <c r="E7">
        <v>10</v>
      </c>
    </row>
    <row r="8" spans="1:5" x14ac:dyDescent="0.25">
      <c r="A8" t="s">
        <v>11</v>
      </c>
      <c r="B8" t="s">
        <v>6</v>
      </c>
      <c r="C8" t="s">
        <v>7</v>
      </c>
      <c r="D8">
        <v>5</v>
      </c>
      <c r="E8">
        <v>10</v>
      </c>
    </row>
    <row r="9" spans="1:5" x14ac:dyDescent="0.25">
      <c r="A9" t="s">
        <v>11</v>
      </c>
      <c r="B9" t="s">
        <v>6</v>
      </c>
      <c r="C9" t="s">
        <v>8</v>
      </c>
      <c r="D9">
        <v>25</v>
      </c>
      <c r="E9">
        <v>10</v>
      </c>
    </row>
    <row r="10" spans="1:5" x14ac:dyDescent="0.25">
      <c r="A10" t="s">
        <v>11</v>
      </c>
      <c r="B10" t="s">
        <v>6</v>
      </c>
      <c r="C10" t="s">
        <v>9</v>
      </c>
      <c r="D10">
        <v>15</v>
      </c>
      <c r="E10">
        <v>10</v>
      </c>
    </row>
    <row r="11" spans="1:5" x14ac:dyDescent="0.25">
      <c r="A11" t="s">
        <v>11</v>
      </c>
      <c r="B11" t="s">
        <v>10</v>
      </c>
      <c r="C11" t="s">
        <v>7</v>
      </c>
      <c r="D11">
        <v>35</v>
      </c>
      <c r="E11">
        <v>1</v>
      </c>
    </row>
    <row r="12" spans="1:5" x14ac:dyDescent="0.25">
      <c r="A12" t="s">
        <v>11</v>
      </c>
      <c r="B12" t="s">
        <v>10</v>
      </c>
      <c r="C12" t="s">
        <v>8</v>
      </c>
      <c r="D12">
        <v>15</v>
      </c>
      <c r="E12">
        <v>1</v>
      </c>
    </row>
    <row r="13" spans="1:5" x14ac:dyDescent="0.25">
      <c r="A13" t="s">
        <v>11</v>
      </c>
      <c r="B13" t="s">
        <v>10</v>
      </c>
      <c r="C13" t="s">
        <v>9</v>
      </c>
      <c r="D13">
        <v>45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2026-09-29T01:50:10Z</dcterms:created>
  <dcterms:modified xsi:type="dcterms:W3CDTF">2026-09-29T01:50:11Z</dcterms:modified>
</cp:coreProperties>
</file>