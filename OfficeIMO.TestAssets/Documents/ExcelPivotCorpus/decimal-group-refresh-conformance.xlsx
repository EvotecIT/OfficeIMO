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D4591327-2DAD-49D8-A19F-A2D5603226F8}" xr6:coauthVersionLast="47" xr6:coauthVersionMax="47" xr10:uidLastSave="{00000000-0000-0000-0000-000000000000}"/>
  <bookViews>
    <workbookView xWindow="-110" yWindow="-110" windowWidth="38620" windowHeight="21100" xr2:uid="{504B8BAA-E9CD-4680-A1D8-17F2CDD227BD}"/>
  </bookViews>
  <sheets>
    <sheet name="Lookups" sheetId="3" r:id="rId1"/>
    <sheet name="Grouped" sheetId="2" r:id="rId2"/>
    <sheet name="Source" sheetId="1" r:id="rId3"/>
  </sheets>
  <calcPr calcId="191029"/>
  <pivotCaches>
    <pivotCache cacheId="1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<sst xmlns="http://schemas.openxmlformats.org/spreadsheetml/2006/main" count="18" uniqueCount="17">
  <si>
    <t>Quantity</t>
  </si>
  <si>
    <t>Sales</t>
  </si>
  <si>
    <t>Grand Total</t>
  </si>
  <si>
    <t>Metric</t>
  </si>
  <si>
    <t>0.25-0.75</t>
  </si>
  <si>
    <t>0.75-1.25</t>
  </si>
  <si>
    <t>1.25-1.75</t>
  </si>
  <si>
    <t>1.75-2.25</t>
  </si>
  <si>
    <t>&gt;2.25</t>
  </si>
  <si>
    <t>Grand</t>
  </si>
  <si>
    <t>Below</t>
  </si>
  <si>
    <t>First</t>
  </si>
  <si>
    <t>Second</t>
  </si>
  <si>
    <t>Third</t>
  </si>
  <si>
    <t>Fourth</t>
  </si>
  <si>
    <t>Above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</si>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</sst>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201029282405" createdVersion="6" refreshedVersion="8" minRefreshableVersion="3" recordCount="11" xr:uid="{32E6CE89-C6D8-4188-BE75-095E76019941}">
  <cacheSource type="worksheet">
    <worksheetSource ref="A1:B12" sheet="Source"/>
  </cacheSource>
  <cacheFields count="2">
    <cacheField name="Quantity" numFmtId="0">
      <sharedItems containsSemiMixedTypes="0" containsString="0" containsNumber="1" minValue="0.74" maxValue="2.2599999999999998" count="9">
        <n v="0.75"/>
        <n v="2.2599999999999998"/>
        <n v="0.74"/>
        <n v="1.24"/>
        <n v="1.25"/>
        <n v="1.74"/>
        <n v="1.75"/>
        <n v="2.2400000000000002"/>
        <n v="2.25"/>
      </sharedItems>
      <fieldGroup base="0">
        <rangePr autoStart="0" autoEnd="0" startNum="0.25" endNum="2.25" groupInterval="0.5"/>
        <groupItems count="6">
          <s v="&lt;0.25"/>
          <s v="0.25-0.75"/>
          <s v="0.75-1.25"/>
          <s v="1.25-1.75"/>
          <s v="1.75-2.25"/>
          <s v="&gt;2.25"/>
        </groupItems>
      </fieldGroup>
    </cacheField>
    <cacheField name="Sales" numFmtId="0">
      <sharedItems containsSemiMixedTypes="0" containsString="0" containsNumber="1" containsInteger="1" minValue="1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1"/>
  </r>
  <r>
    <x v="1"/>
    <n v="2"/>
  </r>
  <r>
    <x v="2"/>
    <n v="3"/>
  </r>
  <r>
    <x v="0"/>
    <n v="4"/>
  </r>
  <r>
    <x v="3"/>
    <n v="5"/>
  </r>
  <r>
    <x v="4"/>
    <n v="6"/>
  </r>
  <r>
    <x v="5"/>
    <n v="7"/>
  </r>
  <r>
    <x v="6"/>
    <n v="8"/>
  </r>
  <r>
    <x v="7"/>
    <n v="9"/>
  </r>
  <r>
    <x v="8"/>
    <n v="10"/>
  </r>
  <r>
    <x v="1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696E6-1F91-4E39-8721-8E2469979277}" name="PivotGrouped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0" firstHeaderRow="1" firstDataRow="1" firstDataCol="1"/>
  <pivotFields count="2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2547-90F3-4140-8036-BD4705058598}">
  <dimension ref="A1:B8"/>
  <sheetViews>
    <sheetView tabSelected="1" workbookViewId="0"/>
  </sheetViews>
  <sheetFormatPr defaultRowHeight="14.5" x14ac:dyDescent="0.35"/>
  <sheetData>
    <row r="1" spans="1:2" x14ac:dyDescent="0.35">
      <c r="A1" t="s">
        <v>9</v>
      </c>
      <c r="B1">
        <f>GETPIVOTDATA("Metric",Grouped!A4)</f>
        <v>66</v>
      </c>
    </row>
    <row r="2" spans="1:2" x14ac:dyDescent="0.35">
      <c r="A2" t="s">
        <v>10</v>
      </c>
      <c r="B2" t="e">
        <f>GETPIVOTDATA("Metric",Grouped!A4,"Quantity","&lt;0.25")</f>
        <v>#REF!</v>
      </c>
    </row>
    <row r="3" spans="1:2" x14ac:dyDescent="0.35">
      <c r="A3" t="s">
        <v>11</v>
      </c>
      <c r="B3">
        <f>GETPIVOTDATA("Metric",Grouped!A4,"Quantity","0.25-0.75")</f>
        <v>3</v>
      </c>
    </row>
    <row r="4" spans="1:2" x14ac:dyDescent="0.35">
      <c r="A4" t="s">
        <v>12</v>
      </c>
      <c r="B4">
        <f>GETPIVOTDATA("Metric",Grouped!A4,"Quantity","0.75-1.25")</f>
        <v>10</v>
      </c>
    </row>
    <row r="5" spans="1:2" x14ac:dyDescent="0.35">
      <c r="A5" t="s">
        <v>13</v>
      </c>
      <c r="B5">
        <f>GETPIVOTDATA("Metric",Grouped!A4,"Quantity","1.25-1.75")</f>
        <v>13</v>
      </c>
    </row>
    <row r="6" spans="1:2" x14ac:dyDescent="0.35">
      <c r="A6" t="s">
        <v>14</v>
      </c>
      <c r="B6">
        <f>GETPIVOTDATA("Metric",Grouped!A4,"Quantity","1.75-2.25")</f>
        <v>27</v>
      </c>
    </row>
    <row r="7" spans="1:2" x14ac:dyDescent="0.35">
      <c r="A7" t="s">
        <v>15</v>
      </c>
      <c r="B7">
        <f>GETPIVOTDATA("Metric",Grouped!A4,"Quantity","&gt;2.25")</f>
        <v>13</v>
      </c>
    </row>
    <row r="8" spans="1:2" x14ac:dyDescent="0.35">
      <c r="A8" t="s">
        <v>16</v>
      </c>
      <c r="B8">
        <f>GETPIVOTDATA("Metric",Grouped!A4,"Quantity",0.25)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E0361-AD7A-4A6B-93EB-A5A9DDC81544}">
  <dimension ref="A4:B10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3</v>
      </c>
    </row>
    <row r="5" spans="1:2" x14ac:dyDescent="0.35">
      <c r="A5" t="s">
        <v>4</v>
      </c>
      <c r="B5" s="2">
        <v>3</v>
      </c>
    </row>
    <row r="6" spans="1:2" x14ac:dyDescent="0.35">
      <c r="A6" t="s">
        <v>5</v>
      </c>
      <c r="B6" s="2">
        <v>10</v>
      </c>
    </row>
    <row r="7" spans="1:2" x14ac:dyDescent="0.35">
      <c r="A7" t="s">
        <v>6</v>
      </c>
      <c r="B7" s="2">
        <v>13</v>
      </c>
    </row>
    <row r="8" spans="1:2" x14ac:dyDescent="0.35">
      <c r="A8" t="s">
        <v>7</v>
      </c>
      <c r="B8" s="2">
        <v>27</v>
      </c>
    </row>
    <row r="9" spans="1:2" x14ac:dyDescent="0.35">
      <c r="A9" t="s">
        <v>8</v>
      </c>
      <c r="B9" s="2">
        <v>13</v>
      </c>
    </row>
    <row r="10" spans="1:2" x14ac:dyDescent="0.35">
      <c r="A10" t="s">
        <v>2</v>
      </c>
      <c r="B10" s="2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2333-0D27-4ECE-9017-82CAB9F2EB43}">
  <dimension ref="A1:B1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0.75</v>
      </c>
      <c r="B2">
        <v>1</v>
      </c>
    </row>
    <row r="3" spans="1:2" x14ac:dyDescent="0.35">
      <c r="A3">
        <v>2.2599999999999998</v>
      </c>
      <c r="B3">
        <v>2</v>
      </c>
    </row>
    <row r="4" spans="1:2" x14ac:dyDescent="0.35">
      <c r="A4">
        <v>0.74</v>
      </c>
      <c r="B4">
        <v>3</v>
      </c>
    </row>
    <row r="5" spans="1:2" x14ac:dyDescent="0.35">
      <c r="A5">
        <v>0.75</v>
      </c>
      <c r="B5">
        <v>4</v>
      </c>
    </row>
    <row r="6" spans="1:2" x14ac:dyDescent="0.35">
      <c r="A6">
        <v>1.24</v>
      </c>
      <c r="B6">
        <v>5</v>
      </c>
    </row>
    <row r="7" spans="1:2" x14ac:dyDescent="0.35">
      <c r="A7">
        <v>1.25</v>
      </c>
      <c r="B7">
        <v>6</v>
      </c>
    </row>
    <row r="8" spans="1:2" x14ac:dyDescent="0.35">
      <c r="A8">
        <v>1.74</v>
      </c>
      <c r="B8">
        <v>7</v>
      </c>
    </row>
    <row r="9" spans="1:2" x14ac:dyDescent="0.35">
      <c r="A9">
        <v>1.75</v>
      </c>
      <c r="B9">
        <v>8</v>
      </c>
    </row>
    <row r="10" spans="1:2" x14ac:dyDescent="0.35">
      <c r="A10">
        <v>2.2400000000000002</v>
      </c>
      <c r="B10">
        <v>9</v>
      </c>
    </row>
    <row r="11" spans="1:2" x14ac:dyDescent="0.35">
      <c r="A11">
        <v>2.25</v>
      </c>
      <c r="B11">
        <v>10</v>
      </c>
    </row>
    <row r="12" spans="1:2" x14ac:dyDescent="0.35">
      <c r="A12">
        <v>2.2599999999999998</v>
      </c>
      <c r="B1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2026-09-28T02:49:28Z</dcterms:created>
  <dcterms:modified xsi:type="dcterms:W3CDTF">2026-09-28T02:49:28Z</dcterms:modified>
</cp:coreProperties>
</file>