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11722BF8-4B6E-4FF0-93CE-C83ECDD24EC0}" xr6:coauthVersionLast="47" xr6:coauthVersionMax="47" xr10:uidLastSave="{00000000-0000-0000-0000-000000000000}"/>
  <bookViews>
    <workbookView xWindow="-120" yWindow="-120" windowWidth="38640" windowHeight="10320" xr2:uid="{94E2B1B7-6DE2-4123-96A9-0007C3979FA9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<sst xmlns="http://schemas.openxmlformats.org/spreadsheetml/2006/main" count="56" uniqueCount="15">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</sst>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20800578705" createdVersion="6" refreshedVersion="8" minRefreshableVersion="3" recordCount="12" xr:uid="{36560471-5B71-4A19-AEBA-D0DFB6442BC4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</r>
  <r>
    <x v="0"/>
    <x v="0"/>
    <x v="1"/>
    <n v="30"/>
  </r>
  <r>
    <x v="0"/>
    <x v="0"/>
    <x v="2"/>
    <n v="20"/>
  </r>
  <r>
    <x v="0"/>
    <x v="1"/>
    <x v="0"/>
    <n v="40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0BAF9-2467-42DA-AE17-B948C34FEB48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F11" firstHeaderRow="1" firstDataRow="2" firstDataCol="2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</pivotFields>
  <rowFields count="2">
    <field x="0"/>
    <field x="1"/>
  </rowFields>
  <rowItems count="6">
    <i>
      <x/>
      <x/>
    </i>
    <i r="1">
      <x v="1"/>
    </i>
    <i t="default">
      <x/>
    </i>
    <i>
      <x v="1"/>
      <x/>
    </i>
    <i t="default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1">
    <filter fld="1" type="valueBetween" evalOrder="-1" id="1" iMeasureFld="0">
      <autoFilter ref="A1">
        <filterColumn colId="0">
          <customFilters and="1">
            <customFilter operator="greaterThanOrEqual" val="45"/>
            <customFilter operator="lessThanOrEqual" val="6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AFF5-FDF8-446D-95BD-A5959B85C49F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170</v>
      </c>
    </row>
    <row r="2" spans="2:2" x14ac:dyDescent="0.25">
      <c r="B2">
        <f>GETPIVOTDATA("Metric",Grouped!$A$4,"Region","East","Product","A","Channel","Retail")</f>
        <v>10</v>
      </c>
    </row>
    <row r="3" spans="2:2" x14ac:dyDescent="0.25">
      <c r="B3">
        <f>GETPIVOTDATA("Metric",Grouped!$A$4,"Region","East","Product","A","Channel","Online")</f>
        <v>30</v>
      </c>
    </row>
    <row r="4" spans="2:2" x14ac:dyDescent="0.25">
      <c r="B4">
        <f>GETPIVOTDATA("Metric",Grouped!$A$4,"Region","East","Product","A","Channel","Partner")</f>
        <v>20</v>
      </c>
    </row>
    <row r="5" spans="2:2" x14ac:dyDescent="0.25">
      <c r="B5">
        <f>GETPIVOTDATA("Metric",Grouped!$A$4,"Region","East","Product","B","Channel","Retail")</f>
        <v>40</v>
      </c>
    </row>
    <row r="6" spans="2:2" x14ac:dyDescent="0.25">
      <c r="B6">
        <f>GETPIVOTDATA("Metric",Grouped!$A$4,"Region","East","Product","B","Channel","Online")</f>
        <v>20</v>
      </c>
    </row>
    <row r="7" spans="2:2" x14ac:dyDescent="0.25">
      <c r="B7">
        <f>GETPIVOTDATA("Metric",Grouped!$A$4,"Region","East","Product","B","Channel","Partner")</f>
        <v>5</v>
      </c>
    </row>
    <row r="8" spans="2:2" x14ac:dyDescent="0.25">
      <c r="B8">
        <f>GETPIVOTDATA("Metric",Grouped!$A$4,"Region","West","Product","A","Channel","Retail")</f>
        <v>5</v>
      </c>
    </row>
    <row r="9" spans="2:2" x14ac:dyDescent="0.25">
      <c r="B9">
        <f>GETPIVOTDATA("Metric",Grouped!$A$4,"Region","West","Product","A","Channel","Online")</f>
        <v>25</v>
      </c>
    </row>
    <row r="10" spans="2:2" x14ac:dyDescent="0.25">
      <c r="B10">
        <f>GETPIVOTDATA("Metric",Grouped!$A$4,"Region","West","Product","A","Channel","Partner")</f>
        <v>15</v>
      </c>
    </row>
    <row r="11" spans="2:2" x14ac:dyDescent="0.25">
      <c r="B11" t="e">
        <f>GETPIVOTDATA("Metric",Grouped!$A$4,"Region","West","Product","B","Channel","Retail")</f>
        <v>#REF!</v>
      </c>
    </row>
    <row r="12" spans="2:2" x14ac:dyDescent="0.25">
      <c r="B12" t="e">
        <f>GETPIVOTDATA("Metric",Grouped!$A$4,"Region","West","Product","B","Channel","Online")</f>
        <v>#REF!</v>
      </c>
    </row>
    <row r="13" spans="2:2" x14ac:dyDescent="0.25">
      <c r="B13" t="e">
        <f>GETPIVOTDATA("Metric",Grouped!$A$4,"Region","West","Product","B","Channel","Partner")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88C99-7F0A-4222-9759-0447406D4654}">
  <dimension ref="A4:F11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5" width="10.85546875" bestFit="1" customWidth="1"/>
    <col min="6" max="6" width="11.28515625" bestFit="1" customWidth="1"/>
  </cols>
  <sheetData>
    <row r="4" spans="1:6" x14ac:dyDescent="0.25">
      <c r="A4" s="1" t="s">
        <v>12</v>
      </c>
      <c r="C4" s="1" t="s">
        <v>2</v>
      </c>
    </row>
    <row r="5" spans="1:6" x14ac:dyDescent="0.25">
      <c r="A5" s="1" t="s">
        <v>0</v>
      </c>
      <c r="B5" s="1" t="s">
        <v>1</v>
      </c>
      <c r="C5" t="s">
        <v>7</v>
      </c>
      <c r="D5" t="s">
        <v>8</v>
      </c>
      <c r="E5" t="s">
        <v>6</v>
      </c>
      <c r="F5" t="s">
        <v>11</v>
      </c>
    </row>
    <row r="6" spans="1:6" x14ac:dyDescent="0.25">
      <c r="A6" t="s">
        <v>4</v>
      </c>
      <c r="B6" t="s">
        <v>5</v>
      </c>
      <c r="C6" s="2">
        <v>30</v>
      </c>
      <c r="D6" s="2">
        <v>20</v>
      </c>
      <c r="E6" s="2">
        <v>10</v>
      </c>
      <c r="F6" s="2">
        <v>60</v>
      </c>
    </row>
    <row r="7" spans="1:6" x14ac:dyDescent="0.25">
      <c r="B7" t="s">
        <v>9</v>
      </c>
      <c r="C7" s="2">
        <v>20</v>
      </c>
      <c r="D7" s="2">
        <v>5</v>
      </c>
      <c r="E7" s="2">
        <v>40</v>
      </c>
      <c r="F7" s="2">
        <v>65</v>
      </c>
    </row>
    <row r="8" spans="1:6" x14ac:dyDescent="0.25">
      <c r="A8" t="s">
        <v>13</v>
      </c>
      <c r="C8" s="2">
        <v>50</v>
      </c>
      <c r="D8" s="2">
        <v>25</v>
      </c>
      <c r="E8" s="2">
        <v>50</v>
      </c>
      <c r="F8" s="2">
        <v>125</v>
      </c>
    </row>
    <row r="9" spans="1:6" x14ac:dyDescent="0.25">
      <c r="A9" t="s">
        <v>10</v>
      </c>
      <c r="B9" t="s">
        <v>5</v>
      </c>
      <c r="C9" s="2">
        <v>25</v>
      </c>
      <c r="D9" s="2">
        <v>15</v>
      </c>
      <c r="E9" s="2">
        <v>5</v>
      </c>
      <c r="F9" s="2">
        <v>45</v>
      </c>
    </row>
    <row r="10" spans="1:6" x14ac:dyDescent="0.25">
      <c r="A10" t="s">
        <v>14</v>
      </c>
      <c r="C10" s="2">
        <v>25</v>
      </c>
      <c r="D10" s="2">
        <v>15</v>
      </c>
      <c r="E10" s="2">
        <v>5</v>
      </c>
      <c r="F10" s="2">
        <v>45</v>
      </c>
    </row>
    <row r="11" spans="1:6" x14ac:dyDescent="0.25">
      <c r="A11" t="s">
        <v>11</v>
      </c>
      <c r="C11" s="2">
        <v>75</v>
      </c>
      <c r="D11" s="2">
        <v>40</v>
      </c>
      <c r="E11" s="2">
        <v>55</v>
      </c>
      <c r="F11" s="2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DD52-0FB4-45ED-A15C-21D73CA1A46B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>
        <v>40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2026-09-29T00:53:56Z</dcterms:created>
  <dcterms:modified xsi:type="dcterms:W3CDTF">2026-09-29T00:53:57Z</dcterms:modified>
</cp:coreProperties>
</file>