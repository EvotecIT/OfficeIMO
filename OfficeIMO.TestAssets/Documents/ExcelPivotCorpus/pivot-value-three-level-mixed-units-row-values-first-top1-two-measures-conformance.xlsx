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93C4C9D-2242-4CC7-ABBE-E97C9D035957}" xr6:coauthVersionLast="47" xr6:coauthVersionMax="47" xr10:uidLastSave="{00000000-0000-0000-0000-000000000000}"/>
  <bookViews>
    <workbookView xWindow="-120" yWindow="-120" windowWidth="38640" windowHeight="10320" xr2:uid="{9E788DAC-7313-4B8B-9720-04E63F3EF15B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<sst xmlns="http://schemas.openxmlformats.org/spreadsheetml/2006/main" count="67" uniqueCount="20">
  <si>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</si>
  <si>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</si>
  <si>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</si>
  <si>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</si>
  <si>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</si>
  <si>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</si>
  <si>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</si>
  <si>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</si>
  <si>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</si>
  <si>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</si>
  <si>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</si>
  <si>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</si>
  <si>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</si>
  <si>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</si>
  <si>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</si>
  <si>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</si>
  <si>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</si>
  <si>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Values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</si>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</sst>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202845601852" createdVersion="6" refreshedVersion="8" minRefreshableVersion="3" recordCount="12" xr:uid="{1821D5E5-888E-4DB4-88C1-362D430A70A7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9D9EE-5D72-40AA-8849-23ACEF53AD70}" name="ValuePivot" cacheId="1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G17" firstHeaderRow="1" firstDataRow="2" firstDataCol="3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3">
    <field x="-2"/>
    <field x="0"/>
    <field x="1"/>
  </rowFields>
  <rowItems count="12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 v="1"/>
    </i>
    <i t="default" r="1" i="1">
      <x/>
    </i>
    <i r="1" i="1">
      <x v="1"/>
      <x/>
    </i>
    <i t="default"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E61E-212B-48F2-97B6-DA349B3B6ED7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265</v>
      </c>
      <c r="C1">
        <f>GETPIVOTDATA("UnitsMetric",Grouped!$A$4)</f>
        <v>60</v>
      </c>
    </row>
    <row r="2" spans="2:3" x14ac:dyDescent="0.25">
      <c r="B2">
        <f>GETPIVOTDATA("Metric",Grouped!$A$4,"Region","East","Product","A","Channel","Retail")</f>
        <v>10</v>
      </c>
      <c r="C2" t="e">
        <f>GETPIVOTDATA("UnitsMetric",Grouped!$A$4,"Region","East","Product","A","Channel","Retail")</f>
        <v>#REF!</v>
      </c>
    </row>
    <row r="3" spans="2:3" x14ac:dyDescent="0.25">
      <c r="B3">
        <f>GETPIVOTDATA("Metric",Grouped!$A$4,"Region","East","Product","A","Channel","Online")</f>
        <v>30</v>
      </c>
      <c r="C3" t="e">
        <f>GETPIVOTDATA("UnitsMetric",Grouped!$A$4,"Region","East","Product","A","Channel","Online")</f>
        <v>#REF!</v>
      </c>
    </row>
    <row r="4" spans="2:3" x14ac:dyDescent="0.25">
      <c r="B4">
        <f>GETPIVOTDATA("Metric",Grouped!$A$4,"Region","East","Product","A","Channel","Partner")</f>
        <v>20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>
        <f>GETPIVOTDATA("Metric",Grouped!$A$4,"Region","West","Product","A","Channel","Retail")</f>
        <v>5</v>
      </c>
      <c r="C8">
        <f>GETPIVOTDATA("UnitsMetric",Grouped!$A$4,"Region","West","Product","A","Channel","Retail")</f>
        <v>10</v>
      </c>
    </row>
    <row r="9" spans="2:3" x14ac:dyDescent="0.25">
      <c r="B9">
        <f>GETPIVOTDATA("Metric",Grouped!$A$4,"Region","West","Product","A","Channel","Online")</f>
        <v>25</v>
      </c>
      <c r="C9">
        <f>GETPIVOTDATA("UnitsMetric",Grouped!$A$4,"Region","West","Product","A","Channel","Online")</f>
        <v>10</v>
      </c>
    </row>
    <row r="10" spans="2:3" x14ac:dyDescent="0.25">
      <c r="B10">
        <f>GETPIVOTDATA("Metric",Grouped!$A$4,"Region","West","Product","A","Channel","Partner")</f>
        <v>15</v>
      </c>
      <c r="C10">
        <f>GETPIVOTDATA("UnitsMetric",Grouped!$A$4,"Region","West","Product","A","Channel","Partner")</f>
        <v>10</v>
      </c>
    </row>
    <row r="11" spans="2:3" x14ac:dyDescent="0.25">
      <c r="B11">
        <f>GETPIVOTDATA("Metric",Grouped!$A$4,"Region","West","Product","B","Channel","Retail")</f>
        <v>35</v>
      </c>
      <c r="C11" t="e">
        <f>GETPIVOTDATA("UnitsMetric",Grouped!$A$4,"Region","West","Product","B","Channel","Retail")</f>
        <v>#REF!</v>
      </c>
    </row>
    <row r="12" spans="2:3" x14ac:dyDescent="0.25">
      <c r="B12">
        <f>GETPIVOTDATA("Metric",Grouped!$A$4,"Region","West","Product","B","Channel","Online")</f>
        <v>15</v>
      </c>
      <c r="C12" t="e">
        <f>GETPIVOTDATA("UnitsMetric",Grouped!$A$4,"Region","West","Product","B","Channel","Online")</f>
        <v>#REF!</v>
      </c>
    </row>
    <row r="13" spans="2:3" x14ac:dyDescent="0.25">
      <c r="B13">
        <f>GETPIVOTDATA("Metric",Grouped!$A$4,"Region","West","Product","B","Channel","Partner")</f>
        <v>45</v>
      </c>
      <c r="C13" t="e">
        <f>GETPIVOTDATA("UnitsMetric",Grouped!$A$4,"Region","West","Product","B","Channel","Partner")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F68F-F0E6-4F7C-884C-9D1A848AEA49}">
  <dimension ref="A4:G17"/>
  <sheetViews>
    <sheetView workbookViewId="0"/>
  </sheetViews>
  <sheetFormatPr defaultRowHeight="15" x14ac:dyDescent="0.25"/>
  <cols>
    <col min="1" max="1" width="16.42578125" bestFit="1" customWidth="1"/>
    <col min="2" max="2" width="16.85546875" bestFit="1" customWidth="1"/>
    <col min="3" max="3" width="10.28515625" bestFit="1" customWidth="1"/>
    <col min="4" max="6" width="10.85546875" bestFit="1" customWidth="1"/>
    <col min="7" max="7" width="11.28515625" bestFit="1" customWidth="1"/>
    <col min="8" max="8" width="11.5703125" bestFit="1" customWidth="1"/>
    <col min="9" max="9" width="16.42578125" bestFit="1" customWidth="1"/>
  </cols>
  <sheetData>
    <row r="4" spans="1:7" x14ac:dyDescent="0.25">
      <c r="D4" s="1" t="s">
        <v>2</v>
      </c>
    </row>
    <row r="5" spans="1:7" x14ac:dyDescent="0.25">
      <c r="A5" s="1" t="s">
        <v>17</v>
      </c>
      <c r="B5" s="1" t="s">
        <v>0</v>
      </c>
      <c r="C5" s="1" t="s">
        <v>1</v>
      </c>
      <c r="D5" t="s">
        <v>8</v>
      </c>
      <c r="E5" t="s">
        <v>9</v>
      </c>
      <c r="F5" t="s">
        <v>7</v>
      </c>
      <c r="G5" t="s">
        <v>12</v>
      </c>
    </row>
    <row r="6" spans="1:7" x14ac:dyDescent="0.25">
      <c r="A6" t="s">
        <v>13</v>
      </c>
      <c r="B6" t="s">
        <v>5</v>
      </c>
      <c r="C6" t="s">
        <v>6</v>
      </c>
      <c r="D6" s="2">
        <v>30</v>
      </c>
      <c r="E6" s="2">
        <v>20</v>
      </c>
      <c r="F6" s="2">
        <v>10</v>
      </c>
      <c r="G6" s="2">
        <v>60</v>
      </c>
    </row>
    <row r="7" spans="1:7" x14ac:dyDescent="0.25">
      <c r="C7" t="s">
        <v>10</v>
      </c>
      <c r="D7" s="2">
        <v>20</v>
      </c>
      <c r="E7" s="2">
        <v>5</v>
      </c>
      <c r="F7" s="2">
        <v>40</v>
      </c>
      <c r="G7" s="2">
        <v>65</v>
      </c>
    </row>
    <row r="8" spans="1:7" x14ac:dyDescent="0.25">
      <c r="B8" t="s">
        <v>18</v>
      </c>
      <c r="D8" s="2">
        <v>50</v>
      </c>
      <c r="E8" s="2">
        <v>25</v>
      </c>
      <c r="F8" s="2">
        <v>50</v>
      </c>
      <c r="G8" s="2">
        <v>125</v>
      </c>
    </row>
    <row r="9" spans="1:7" x14ac:dyDescent="0.25">
      <c r="B9" t="s">
        <v>11</v>
      </c>
      <c r="C9" t="s">
        <v>6</v>
      </c>
      <c r="D9" s="2">
        <v>25</v>
      </c>
      <c r="E9" s="2">
        <v>15</v>
      </c>
      <c r="F9" s="2">
        <v>5</v>
      </c>
      <c r="G9" s="2">
        <v>45</v>
      </c>
    </row>
    <row r="10" spans="1:7" x14ac:dyDescent="0.25">
      <c r="C10" t="s">
        <v>10</v>
      </c>
      <c r="D10" s="2">
        <v>15</v>
      </c>
      <c r="E10" s="2">
        <v>45</v>
      </c>
      <c r="F10" s="2">
        <v>35</v>
      </c>
      <c r="G10" s="2">
        <v>95</v>
      </c>
    </row>
    <row r="11" spans="1:7" x14ac:dyDescent="0.25">
      <c r="B11" t="s">
        <v>19</v>
      </c>
      <c r="D11" s="2">
        <v>40</v>
      </c>
      <c r="E11" s="2">
        <v>60</v>
      </c>
      <c r="F11" s="2">
        <v>40</v>
      </c>
      <c r="G11" s="2">
        <v>140</v>
      </c>
    </row>
    <row r="12" spans="1:7" x14ac:dyDescent="0.25">
      <c r="A12" t="s">
        <v>16</v>
      </c>
      <c r="B12" t="s">
        <v>5</v>
      </c>
      <c r="C12" t="s">
        <v>10</v>
      </c>
      <c r="D12" s="2">
        <v>10</v>
      </c>
      <c r="E12" s="2">
        <v>10</v>
      </c>
      <c r="F12" s="2">
        <v>10</v>
      </c>
      <c r="G12" s="2">
        <v>30</v>
      </c>
    </row>
    <row r="13" spans="1:7" x14ac:dyDescent="0.25">
      <c r="B13" t="s">
        <v>18</v>
      </c>
      <c r="D13" s="2">
        <v>10</v>
      </c>
      <c r="E13" s="2">
        <v>10</v>
      </c>
      <c r="F13" s="2">
        <v>10</v>
      </c>
      <c r="G13" s="2">
        <v>30</v>
      </c>
    </row>
    <row r="14" spans="1:7" x14ac:dyDescent="0.25">
      <c r="B14" t="s">
        <v>11</v>
      </c>
      <c r="C14" t="s">
        <v>6</v>
      </c>
      <c r="D14" s="2">
        <v>10</v>
      </c>
      <c r="E14" s="2">
        <v>10</v>
      </c>
      <c r="F14" s="2">
        <v>10</v>
      </c>
      <c r="G14" s="2">
        <v>30</v>
      </c>
    </row>
    <row r="15" spans="1:7" x14ac:dyDescent="0.25">
      <c r="B15" t="s">
        <v>19</v>
      </c>
      <c r="D15" s="2">
        <v>10</v>
      </c>
      <c r="E15" s="2">
        <v>10</v>
      </c>
      <c r="F15" s="2">
        <v>10</v>
      </c>
      <c r="G15" s="2">
        <v>30</v>
      </c>
    </row>
    <row r="16" spans="1:7" x14ac:dyDescent="0.25">
      <c r="A16" t="s">
        <v>14</v>
      </c>
      <c r="D16" s="2">
        <v>90</v>
      </c>
      <c r="E16" s="2">
        <v>85</v>
      </c>
      <c r="F16" s="2">
        <v>90</v>
      </c>
      <c r="G16" s="2">
        <v>265</v>
      </c>
    </row>
    <row r="17" spans="1:7" x14ac:dyDescent="0.25">
      <c r="A17" t="s">
        <v>15</v>
      </c>
      <c r="D17" s="2">
        <v>20</v>
      </c>
      <c r="E17" s="2">
        <v>20</v>
      </c>
      <c r="F17" s="2">
        <v>20</v>
      </c>
      <c r="G17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8B9D-295B-465A-A284-9EBEB0398FA7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2026-09-29T02:52:05Z</dcterms:created>
  <dcterms:modified xsi:type="dcterms:W3CDTF">2026-09-29T02:52:06Z</dcterms:modified>
</cp:coreProperties>
</file>