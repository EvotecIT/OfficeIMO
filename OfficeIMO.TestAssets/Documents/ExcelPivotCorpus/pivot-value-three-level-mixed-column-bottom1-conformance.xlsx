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F699B9A3-140E-4680-8D8B-2912B9E0B333}" xr6:coauthVersionLast="47" xr6:coauthVersionMax="47" xr10:uidLastSave="{00000000-0000-0000-0000-000000000000}"/>
  <bookViews>
    <workbookView xWindow="-120" yWindow="-120" windowWidth="38640" windowHeight="10320" xr2:uid="{B53EEA76-3E14-48AA-9129-35F06A305471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<sst xmlns="http://schemas.openxmlformats.org/spreadsheetml/2006/main" count="55" uniqueCount="15">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</sst>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0140983796" createdVersion="6" refreshedVersion="8" minRefreshableVersion="3" recordCount="12" xr:uid="{577C312F-025F-4A80-A29B-3FF26557CD72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4A11F-062D-4372-AF81-8416E918AE70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12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 measureFilter="1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2"/>
  </colFields>
  <colItems count="2">
    <i>
      <x v="1"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3EC4-4A02-4C35-9D90-3561B781A179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85</v>
      </c>
    </row>
    <row r="2" spans="2:2" x14ac:dyDescent="0.25">
      <c r="B2" t="e">
        <f>GETPIVOTDATA("Metric",Grouped!$A$4,"Region","East","Product","A","Channel","Retail")</f>
        <v>#REF!</v>
      </c>
    </row>
    <row r="3" spans="2:2" x14ac:dyDescent="0.25">
      <c r="B3" t="e">
        <f>GETPIVOTDATA("Metric",Grouped!$A$4,"Region","East","Product","A","Channel","Online")</f>
        <v>#REF!</v>
      </c>
    </row>
    <row r="4" spans="2:2" x14ac:dyDescent="0.25">
      <c r="B4">
        <f>GETPIVOTDATA("Metric",Grouped!$A$4,"Region","East","Product","A","Channel","Partner")</f>
        <v>20</v>
      </c>
    </row>
    <row r="5" spans="2:2" x14ac:dyDescent="0.25">
      <c r="B5" t="e">
        <f>GETPIVOTDATA("Metric",Grouped!$A$4,"Region","East","Product","B","Channel","Retail")</f>
        <v>#REF!</v>
      </c>
    </row>
    <row r="6" spans="2:2" x14ac:dyDescent="0.25">
      <c r="B6" t="e">
        <f>GETPIVOTDATA("Metric",Grouped!$A$4,"Region","East","Product","B","Channel","Online")</f>
        <v>#REF!</v>
      </c>
    </row>
    <row r="7" spans="2:2" x14ac:dyDescent="0.25">
      <c r="B7">
        <f>GETPIVOTDATA("Metric",Grouped!$A$4,"Region","East","Product","B","Channel","Partner")</f>
        <v>5</v>
      </c>
    </row>
    <row r="8" spans="2:2" x14ac:dyDescent="0.25">
      <c r="B8" t="e">
        <f>GETPIVOTDATA("Metric",Grouped!$A$4,"Region","West","Product","A","Channel","Retail")</f>
        <v>#REF!</v>
      </c>
    </row>
    <row r="9" spans="2:2" x14ac:dyDescent="0.25">
      <c r="B9" t="e">
        <f>GETPIVOTDATA("Metric",Grouped!$A$4,"Region","West","Product","A","Channel","Online")</f>
        <v>#REF!</v>
      </c>
    </row>
    <row r="10" spans="2:2" x14ac:dyDescent="0.25">
      <c r="B10">
        <f>GETPIVOTDATA("Metric",Grouped!$A$4,"Region","West","Product","A","Channel","Partner")</f>
        <v>15</v>
      </c>
    </row>
    <row r="11" spans="2:2" x14ac:dyDescent="0.25">
      <c r="B11" t="e">
        <f>GETPIVOTDATA("Metric",Grouped!$A$4,"Region","West","Product","B","Channel","Retail")</f>
        <v>#REF!</v>
      </c>
    </row>
    <row r="12" spans="2:2" x14ac:dyDescent="0.25">
      <c r="B12" t="e">
        <f>GETPIVOTDATA("Metric",Grouped!$A$4,"Region","West","Product","B","Channel","Online")</f>
        <v>#REF!</v>
      </c>
    </row>
    <row r="13" spans="2:2" x14ac:dyDescent="0.25">
      <c r="B13">
        <f>GETPIVOTDATA("Metric",Grouped!$A$4,"Region","West","Product","B","Channel","Partner")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59E9-C9EA-4AF0-B3B1-0ECDA680A117}">
  <dimension ref="A4:D12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3" width="10.85546875" bestFit="1" customWidth="1"/>
    <col min="4" max="4" width="11.28515625" bestFit="1" customWidth="1"/>
    <col min="5" max="5" width="10.85546875" bestFit="1" customWidth="1"/>
    <col min="6" max="6" width="11.28515625" bestFit="1" customWidth="1"/>
  </cols>
  <sheetData>
    <row r="4" spans="1:4" x14ac:dyDescent="0.25">
      <c r="A4" s="1" t="s">
        <v>12</v>
      </c>
      <c r="C4" s="1" t="s">
        <v>2</v>
      </c>
    </row>
    <row r="5" spans="1:4" x14ac:dyDescent="0.25">
      <c r="A5" s="1" t="s">
        <v>0</v>
      </c>
      <c r="B5" s="1" t="s">
        <v>1</v>
      </c>
      <c r="C5" t="s">
        <v>8</v>
      </c>
      <c r="D5" t="s">
        <v>11</v>
      </c>
    </row>
    <row r="6" spans="1:4" x14ac:dyDescent="0.25">
      <c r="A6" t="s">
        <v>4</v>
      </c>
      <c r="B6" t="s">
        <v>5</v>
      </c>
      <c r="C6" s="2">
        <v>20</v>
      </c>
      <c r="D6" s="2">
        <v>20</v>
      </c>
    </row>
    <row r="7" spans="1:4" x14ac:dyDescent="0.25">
      <c r="B7" t="s">
        <v>9</v>
      </c>
      <c r="C7" s="2">
        <v>5</v>
      </c>
      <c r="D7" s="2">
        <v>5</v>
      </c>
    </row>
    <row r="8" spans="1:4" x14ac:dyDescent="0.25">
      <c r="A8" t="s">
        <v>13</v>
      </c>
      <c r="C8" s="2">
        <v>25</v>
      </c>
      <c r="D8" s="2">
        <v>25</v>
      </c>
    </row>
    <row r="9" spans="1:4" x14ac:dyDescent="0.25">
      <c r="A9" t="s">
        <v>10</v>
      </c>
      <c r="B9" t="s">
        <v>5</v>
      </c>
      <c r="C9" s="2">
        <v>15</v>
      </c>
      <c r="D9" s="2">
        <v>15</v>
      </c>
    </row>
    <row r="10" spans="1:4" x14ac:dyDescent="0.25">
      <c r="B10" t="s">
        <v>9</v>
      </c>
      <c r="C10" s="2">
        <v>45</v>
      </c>
      <c r="D10" s="2">
        <v>45</v>
      </c>
    </row>
    <row r="11" spans="1:4" x14ac:dyDescent="0.25">
      <c r="A11" t="s">
        <v>14</v>
      </c>
      <c r="C11" s="2">
        <v>60</v>
      </c>
      <c r="D11" s="2">
        <v>60</v>
      </c>
    </row>
    <row r="12" spans="1:4" x14ac:dyDescent="0.25">
      <c r="A12" t="s">
        <v>11</v>
      </c>
      <c r="C12" s="2">
        <v>85</v>
      </c>
      <c r="D12" s="2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3EDD-CE74-416D-B2A1-01C2971E00ED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2026-09-29T00:26:00Z</dcterms:created>
  <dcterms:modified xsi:type="dcterms:W3CDTF">2026-09-29T00:26:02Z</dcterms:modified>
</cp:coreProperties>
</file>