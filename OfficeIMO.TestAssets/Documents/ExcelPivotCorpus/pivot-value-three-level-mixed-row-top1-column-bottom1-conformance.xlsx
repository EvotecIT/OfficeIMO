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8D27ADC3-2750-45DC-AE22-B7652B747201}" xr6:coauthVersionLast="47" xr6:coauthVersionMax="47" xr10:uidLastSave="{00000000-0000-0000-0000-000000000000}"/>
  <bookViews>
    <workbookView xWindow="-120" yWindow="-120" windowWidth="38640" windowHeight="10320" xr2:uid="{66B8BE66-C13D-4151-98A6-87F4C7B015EC}"/>
  </bookViews>
  <sheets>
    <sheet name="Lookups" sheetId="3" r:id="rId1"/>
    <sheet name="Grouped" sheetId="2" r:id="rId2"/>
    <sheet name="Source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3" l="1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<sst xmlns="http://schemas.openxmlformats.org/spreadsheetml/2006/main" count="53" uniqueCount="15">
  <si>
    <t>Region</t>
  </si>
  <si>
    <t>Product</t>
  </si>
  <si>
    <t>Channel</t>
  </si>
  <si>
    <t>Sales</t>
  </si>
  <si>
    <t>East</t>
  </si>
  <si>
    <t>A</t>
  </si>
  <si>
    <t>Retail</t>
  </si>
  <si>
    <t>Online</t>
  </si>
  <si>
    <t>Partner</t>
  </si>
  <si>
    <t>B</t>
  </si>
  <si>
    <t>West</t>
  </si>
  <si>
    <t>Grand Total</t>
  </si>
  <si>
    <t>Metric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</si>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</sst>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134416319444" createdVersion="6" refreshedVersion="8" minRefreshableVersion="3" recordCount="12" xr:uid="{4B21ABFA-24F1-4A44-A254-FB23A9C486FB}">
  <cacheSource type="worksheet">
    <worksheetSource ref="A1:D13" sheet="Source"/>
  </cacheSource>
  <cacheFields count="4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Channel" numFmtId="0">
      <sharedItems count="3">
        <s v="Retail"/>
        <s v="Online"/>
        <s v="Partner"/>
      </sharedItems>
    </cacheField>
    <cacheField name="Sales" numFmtId="0">
      <sharedItems containsSemiMixedTypes="0" containsString="0" containsNumber="1" containsInteger="1" minValue="5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0"/>
  </r>
  <r>
    <x v="0"/>
    <x v="0"/>
    <x v="1"/>
    <n v="30"/>
  </r>
  <r>
    <x v="0"/>
    <x v="0"/>
    <x v="2"/>
    <n v="20"/>
  </r>
  <r>
    <x v="0"/>
    <x v="1"/>
    <x v="0"/>
    <n v="40"/>
  </r>
  <r>
    <x v="0"/>
    <x v="1"/>
    <x v="1"/>
    <n v="20"/>
  </r>
  <r>
    <x v="0"/>
    <x v="1"/>
    <x v="2"/>
    <n v="5"/>
  </r>
  <r>
    <x v="1"/>
    <x v="0"/>
    <x v="0"/>
    <n v="5"/>
  </r>
  <r>
    <x v="1"/>
    <x v="0"/>
    <x v="1"/>
    <n v="25"/>
  </r>
  <r>
    <x v="1"/>
    <x v="0"/>
    <x v="2"/>
    <n v="15"/>
  </r>
  <r>
    <x v="1"/>
    <x v="1"/>
    <x v="0"/>
    <n v="35"/>
  </r>
  <r>
    <x v="1"/>
    <x v="1"/>
    <x v="1"/>
    <n v="15"/>
  </r>
  <r>
    <x v="1"/>
    <x v="1"/>
    <x v="2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822A7C-EEDC-4FC1-AA99-75C95C175804}" name="ValuePivo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D10" firstHeaderRow="1" firstDataRow="2" firstDataCol="2"/>
  <pivotFields count="4">
    <pivotField axis="axisRow" compact="0" outline="0" showAll="0">
      <items count="3">
        <item x="0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axis="axisCol" compact="0" outline="0" showAll="0" measureFilter="1">
      <items count="4">
        <item x="1"/>
        <item x="2"/>
        <item x="0"/>
        <item t="default"/>
      </items>
    </pivotField>
    <pivotField dataField="1" compact="0" outline="0" showAll="0"/>
  </pivotFields>
  <rowFields count="2">
    <field x="0"/>
    <field x="1"/>
  </rowFields>
  <rowItems count="5">
    <i>
      <x/>
      <x v="1"/>
    </i>
    <i t="default">
      <x/>
    </i>
    <i>
      <x v="1"/>
      <x v="1"/>
    </i>
    <i t="default">
      <x v="1"/>
    </i>
    <i t="grand">
      <x/>
    </i>
  </rowItems>
  <colFields count="1">
    <field x="2"/>
  </colFields>
  <colItems count="2">
    <i>
      <x/>
    </i>
    <i t="grand">
      <x/>
    </i>
  </colItems>
  <dataFields count="1">
    <dataField name="Metric" fld="3" baseField="0" baseItem="0"/>
  </dataFields>
  <pivotTableStyleInfo name="PivotStyleLight16" showRowHeaders="1" showColHeaders="1" showRowStripes="0" showColStripes="0" showLastColumn="1"/>
  <filters count="2">
    <filter fld="1" type="count" evalOrder="-1" id="1" iMeasureFld="0">
      <autoFilter ref="A1">
        <filterColumn colId="0">
          <top10 val="1" filterVal="1"/>
        </filterColumn>
      </autoFilter>
    </filter>
    <filter fld="2" type="count" evalOrder="-1" id="2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87E75-7BAE-4E90-95D0-141939B320F7}">
  <dimension ref="B1:B13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35</v>
      </c>
    </row>
    <row r="2" spans="2:2" x14ac:dyDescent="0.25">
      <c r="B2" t="e">
        <f>GETPIVOTDATA("Metric",Grouped!$A$4,"Region","East","Product","A","Channel","Retail")</f>
        <v>#REF!</v>
      </c>
    </row>
    <row r="3" spans="2:2" x14ac:dyDescent="0.25">
      <c r="B3" t="e">
        <f>GETPIVOTDATA("Metric",Grouped!$A$4,"Region","East","Product","A","Channel","Online")</f>
        <v>#REF!</v>
      </c>
    </row>
    <row r="4" spans="2:2" x14ac:dyDescent="0.25">
      <c r="B4" t="e">
        <f>GETPIVOTDATA("Metric",Grouped!$A$4,"Region","East","Product","A","Channel","Partner")</f>
        <v>#REF!</v>
      </c>
    </row>
    <row r="5" spans="2:2" x14ac:dyDescent="0.25">
      <c r="B5" t="e">
        <f>GETPIVOTDATA("Metric",Grouped!$A$4,"Region","East","Product","B","Channel","Retail")</f>
        <v>#REF!</v>
      </c>
    </row>
    <row r="6" spans="2:2" x14ac:dyDescent="0.25">
      <c r="B6">
        <f>GETPIVOTDATA("Metric",Grouped!$A$4,"Region","East","Product","B","Channel","Online")</f>
        <v>20</v>
      </c>
    </row>
    <row r="7" spans="2:2" x14ac:dyDescent="0.25">
      <c r="B7" t="e">
        <f>GETPIVOTDATA("Metric",Grouped!$A$4,"Region","East","Product","B","Channel","Partner")</f>
        <v>#REF!</v>
      </c>
    </row>
    <row r="8" spans="2:2" x14ac:dyDescent="0.25">
      <c r="B8" t="e">
        <f>GETPIVOTDATA("Metric",Grouped!$A$4,"Region","West","Product","A","Channel","Retail")</f>
        <v>#REF!</v>
      </c>
    </row>
    <row r="9" spans="2:2" x14ac:dyDescent="0.25">
      <c r="B9" t="e">
        <f>GETPIVOTDATA("Metric",Grouped!$A$4,"Region","West","Product","A","Channel","Online")</f>
        <v>#REF!</v>
      </c>
    </row>
    <row r="10" spans="2:2" x14ac:dyDescent="0.25">
      <c r="B10" t="e">
        <f>GETPIVOTDATA("Metric",Grouped!$A$4,"Region","West","Product","A","Channel","Partner")</f>
        <v>#REF!</v>
      </c>
    </row>
    <row r="11" spans="2:2" x14ac:dyDescent="0.25">
      <c r="B11" t="e">
        <f>GETPIVOTDATA("Metric",Grouped!$A$4,"Region","West","Product","B","Channel","Retail")</f>
        <v>#REF!</v>
      </c>
    </row>
    <row r="12" spans="2:2" x14ac:dyDescent="0.25">
      <c r="B12">
        <f>GETPIVOTDATA("Metric",Grouped!$A$4,"Region","West","Product","B","Channel","Online")</f>
        <v>15</v>
      </c>
    </row>
    <row r="13" spans="2:2" x14ac:dyDescent="0.25">
      <c r="B13" t="e">
        <f>GETPIVOTDATA("Metric",Grouped!$A$4,"Region","West","Product","B","Channel","Partner")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FF44-ABD6-4B85-B3FC-9CE16446941B}">
  <dimension ref="A4:D10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0.85546875" bestFit="1" customWidth="1"/>
    <col min="4" max="4" width="11.28515625" bestFit="1" customWidth="1"/>
    <col min="5" max="5" width="10.85546875" bestFit="1" customWidth="1"/>
    <col min="6" max="6" width="11.28515625" bestFit="1" customWidth="1"/>
  </cols>
  <sheetData>
    <row r="4" spans="1:4" x14ac:dyDescent="0.25">
      <c r="A4" s="1" t="s">
        <v>12</v>
      </c>
      <c r="C4" s="1" t="s">
        <v>2</v>
      </c>
    </row>
    <row r="5" spans="1:4" x14ac:dyDescent="0.25">
      <c r="A5" s="1" t="s">
        <v>0</v>
      </c>
      <c r="B5" s="1" t="s">
        <v>1</v>
      </c>
      <c r="C5" t="s">
        <v>7</v>
      </c>
      <c r="D5" t="s">
        <v>11</v>
      </c>
    </row>
    <row r="6" spans="1:4" x14ac:dyDescent="0.25">
      <c r="A6" t="s">
        <v>4</v>
      </c>
      <c r="B6" t="s">
        <v>9</v>
      </c>
      <c r="C6" s="2">
        <v>20</v>
      </c>
      <c r="D6" s="2">
        <v>20</v>
      </c>
    </row>
    <row r="7" spans="1:4" x14ac:dyDescent="0.25">
      <c r="A7" t="s">
        <v>13</v>
      </c>
      <c r="C7" s="2">
        <v>20</v>
      </c>
      <c r="D7" s="2">
        <v>20</v>
      </c>
    </row>
    <row r="8" spans="1:4" x14ac:dyDescent="0.25">
      <c r="A8" t="s">
        <v>10</v>
      </c>
      <c r="B8" t="s">
        <v>9</v>
      </c>
      <c r="C8" s="2">
        <v>15</v>
      </c>
      <c r="D8" s="2">
        <v>15</v>
      </c>
    </row>
    <row r="9" spans="1:4" x14ac:dyDescent="0.25">
      <c r="A9" t="s">
        <v>14</v>
      </c>
      <c r="C9" s="2">
        <v>15</v>
      </c>
      <c r="D9" s="2">
        <v>15</v>
      </c>
    </row>
    <row r="10" spans="1:4" x14ac:dyDescent="0.25">
      <c r="A10" t="s">
        <v>11</v>
      </c>
      <c r="C10" s="2">
        <v>35</v>
      </c>
      <c r="D10" s="2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CF2CC-0047-4C60-9A47-9B7F4DF90EAB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10</v>
      </c>
    </row>
    <row r="3" spans="1:4" x14ac:dyDescent="0.25">
      <c r="A3" t="s">
        <v>4</v>
      </c>
      <c r="B3" t="s">
        <v>5</v>
      </c>
      <c r="C3" t="s">
        <v>7</v>
      </c>
      <c r="D3">
        <v>30</v>
      </c>
    </row>
    <row r="4" spans="1:4" x14ac:dyDescent="0.25">
      <c r="A4" t="s">
        <v>4</v>
      </c>
      <c r="B4" t="s">
        <v>5</v>
      </c>
      <c r="C4" t="s">
        <v>8</v>
      </c>
      <c r="D4">
        <v>20</v>
      </c>
    </row>
    <row r="5" spans="1:4" x14ac:dyDescent="0.25">
      <c r="A5" t="s">
        <v>4</v>
      </c>
      <c r="B5" t="s">
        <v>9</v>
      </c>
      <c r="C5" t="s">
        <v>6</v>
      </c>
      <c r="D5">
        <v>40</v>
      </c>
    </row>
    <row r="6" spans="1:4" x14ac:dyDescent="0.25">
      <c r="A6" t="s">
        <v>4</v>
      </c>
      <c r="B6" t="s">
        <v>9</v>
      </c>
      <c r="C6" t="s">
        <v>7</v>
      </c>
      <c r="D6">
        <v>20</v>
      </c>
    </row>
    <row r="7" spans="1:4" x14ac:dyDescent="0.25">
      <c r="A7" t="s">
        <v>4</v>
      </c>
      <c r="B7" t="s">
        <v>9</v>
      </c>
      <c r="C7" t="s">
        <v>8</v>
      </c>
      <c r="D7">
        <v>5</v>
      </c>
    </row>
    <row r="8" spans="1:4" x14ac:dyDescent="0.25">
      <c r="A8" t="s">
        <v>10</v>
      </c>
      <c r="B8" t="s">
        <v>5</v>
      </c>
      <c r="C8" t="s">
        <v>6</v>
      </c>
      <c r="D8">
        <v>5</v>
      </c>
    </row>
    <row r="9" spans="1:4" x14ac:dyDescent="0.25">
      <c r="A9" t="s">
        <v>10</v>
      </c>
      <c r="B9" t="s">
        <v>5</v>
      </c>
      <c r="C9" t="s">
        <v>7</v>
      </c>
      <c r="D9">
        <v>25</v>
      </c>
    </row>
    <row r="10" spans="1:4" x14ac:dyDescent="0.25">
      <c r="A10" t="s">
        <v>10</v>
      </c>
      <c r="B10" t="s">
        <v>5</v>
      </c>
      <c r="C10" t="s">
        <v>8</v>
      </c>
      <c r="D10">
        <v>15</v>
      </c>
    </row>
    <row r="11" spans="1:4" x14ac:dyDescent="0.25">
      <c r="A11" t="s">
        <v>10</v>
      </c>
      <c r="B11" t="s">
        <v>9</v>
      </c>
      <c r="C11" t="s">
        <v>6</v>
      </c>
      <c r="D11">
        <v>35</v>
      </c>
    </row>
    <row r="12" spans="1:4" x14ac:dyDescent="0.25">
      <c r="A12" t="s">
        <v>10</v>
      </c>
      <c r="B12" t="s">
        <v>9</v>
      </c>
      <c r="C12" t="s">
        <v>7</v>
      </c>
      <c r="D12">
        <v>15</v>
      </c>
    </row>
    <row r="13" spans="1:4" x14ac:dyDescent="0.25">
      <c r="A13" t="s">
        <v>10</v>
      </c>
      <c r="B13" t="s">
        <v>9</v>
      </c>
      <c r="C13" t="s">
        <v>8</v>
      </c>
      <c r="D1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2026-09-29T01:13:32Z</dcterms:created>
  <dcterms:modified xsi:type="dcterms:W3CDTF">2026-09-29T01:13:33Z</dcterms:modified>
</cp:coreProperties>
</file>