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36B240C-7309-4B61-8239-798908F0B6F7}" xr6:coauthVersionLast="47" xr6:coauthVersionMax="47" xr10:uidLastSave="{00000000-0000-0000-0000-000000000000}"/>
  <bookViews>
    <workbookView xWindow="-110" yWindow="-110" windowWidth="38620" windowHeight="21100" xr2:uid="{95597B5C-6162-4175-8012-1C7044A01D66}"/>
  </bookViews>
  <sheets>
    <sheet name="Lookups" sheetId="3" r:id="rId1"/>
    <sheet name="Grouped" sheetId="2" r:id="rId2"/>
    <sheet name="Source" sheetId="1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B2" i="3"/>
  <c r="B1" i="3"/>
  <c r="B4" i="3"/>
  <c r="B3" i="3"/>
</calcChain>
</file>

<file path=xl/sharedStrings.xml><?xml version="1.0" encoding="utf-8"?>
<sst xmlns="http://schemas.openxmlformats.org/spreadsheetml/2006/main" count="30" uniqueCount="25">
  <si>
    <t>OrderDate</t>
  </si>
  <si>
    <t>Sales</t>
  </si>
  <si>
    <t>Grand Total</t>
  </si>
  <si>
    <t>Metric</t>
  </si>
  <si>
    <t>Years (OrderDate)</t>
  </si>
  <si>
    <t>Quarters (OrderDate)</t>
  </si>
  <si>
    <t>Months (OrderDate)</t>
  </si>
  <si>
    <t>2025</t>
  </si>
  <si>
    <t>Qtr1</t>
  </si>
  <si>
    <t>sty</t>
  </si>
  <si>
    <t>mar</t>
  </si>
  <si>
    <t>Qtr1 Total</t>
  </si>
  <si>
    <t>Qtr3</t>
  </si>
  <si>
    <t>lip</t>
  </si>
  <si>
    <t>Qtr3 Total</t>
  </si>
  <si>
    <t>Qtr4</t>
  </si>
  <si>
    <t>lis</t>
  </si>
  <si>
    <t>Qtr4 Total</t>
  </si>
  <si>
    <t>2025 Total</t>
  </si>
  <si>
    <t>2026</t>
  </si>
  <si>
    <t>Qtr2</t>
  </si>
  <si>
    <t>kwi</t>
  </si>
  <si>
    <t>Qtr2 Total</t>
  </si>
  <si>
    <t>wrz</t>
  </si>
  <si>
    <t>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</si>
</sst>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280943749996" createdVersion="6" refreshedVersion="8" minRefreshableVersion="3" recordCount="7" xr:uid="{A0BC692C-AF85-4C3C-A1D3-111AC85CEC7C}">
  <cacheSource type="worksheet">
    <worksheetSource ref="A1:B8" sheet="Source"/>
  </cacheSource>
  <cacheFields count="5">
    <cacheField name="OrderDate" numFmtId="164">
      <sharedItems containsSemiMixedTypes="0" containsNonDate="0" containsDate="1" containsString="0" minDate="2025-01-15T00:00:00" maxDate="2026-09-10T00:00:00" count="7">
        <d v="2025-01-15T00:00:00"/>
        <d v="2025-03-20T00:00:00"/>
        <d v="2025-07-01T00:00:00"/>
        <d v="2025-11-05T00:00:00"/>
        <d v="2026-01-10T00:00:00"/>
        <d v="2026-04-05T00:00:00"/>
        <d v="2026-09-09T00:00:00"/>
      </sharedItems>
      <fieldGroup par="4"/>
    </cacheField>
    <cacheField name="Sales" numFmtId="0">
      <sharedItems containsSemiMixedTypes="0" containsString="0" containsNumber="1" containsInteger="1" minValue="10" maxValue="60"/>
    </cacheField>
    <cacheField name="Months (OrderDate)" numFmtId="0" databaseField="0">
      <fieldGroup base="0">
        <rangePr groupBy="months" startDate="2025-01-15T00:00:00" endDate="2026-09-10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0.09.2026"/>
        </groupItems>
      </fieldGroup>
    </cacheField>
    <cacheField name="Quarters (OrderDate)" numFmtId="0" databaseField="0">
      <fieldGroup base="0">
        <rangePr groupBy="quarters" startDate="2025-01-15T00:00:00" endDate="2026-09-10T00:00:00"/>
        <groupItems count="6">
          <s v="&lt;15.01.2025"/>
          <s v="Qtr1"/>
          <s v="Qtr2"/>
          <s v="Qtr3"/>
          <s v="Qtr4"/>
          <s v="&gt;10.09.2026"/>
        </groupItems>
      </fieldGroup>
    </cacheField>
    <cacheField name="Years (OrderDate)" numFmtId="0" databaseField="0">
      <fieldGroup base="0">
        <rangePr groupBy="years" startDate="2025-01-15T00:00:00" endDate="2026-09-10T00:00:00"/>
        <groupItems count="4">
          <s v="&lt;15.01.2025"/>
          <s v="2025"/>
          <s v="2026"/>
          <s v="&gt;1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0"/>
  </r>
  <r>
    <x v="1"/>
    <n v="20"/>
  </r>
  <r>
    <x v="2"/>
    <n v="30"/>
  </r>
  <r>
    <x v="3"/>
    <n v="25"/>
  </r>
  <r>
    <x v="4"/>
    <n v="40"/>
  </r>
  <r>
    <x v="5"/>
    <n v="50"/>
  </r>
  <r>
    <x v="6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27955-C5C4-4A91-BB5F-BFA894224079}" name="PivotQuarterGrouped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Q8" firstHeaderRow="1" firstDataRow="4" firstDataCol="1"/>
  <pivotFields count="5">
    <pivotField compact="0" numFmtId="164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  <pivotField axis="axisCol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Col" compact="0" outline="0" showAll="0">
      <items count="5">
        <item x="0"/>
        <item x="1"/>
        <item x="2"/>
        <item x="3"/>
        <item t="default"/>
      </items>
    </pivotField>
  </pivotFields>
  <rowItems count="1">
    <i/>
  </rowItems>
  <colFields count="3">
    <field x="4"/>
    <field x="3"/>
    <field x="2"/>
  </colFields>
  <colItems count="16">
    <i>
      <x v="1"/>
      <x v="1"/>
      <x v="1"/>
    </i>
    <i r="2">
      <x v="3"/>
    </i>
    <i t="default" r="1">
      <x v="1"/>
    </i>
    <i r="1">
      <x v="3"/>
      <x v="7"/>
    </i>
    <i t="default" r="1">
      <x v="3"/>
    </i>
    <i r="1">
      <x v="4"/>
      <x v="11"/>
    </i>
    <i t="default" r="1">
      <x v="4"/>
    </i>
    <i t="default">
      <x v="1"/>
    </i>
    <i>
      <x v="2"/>
      <x v="1"/>
      <x v="1"/>
    </i>
    <i t="default" r="1">
      <x v="1"/>
    </i>
    <i r="1">
      <x v="2"/>
      <x v="4"/>
    </i>
    <i t="default" r="1">
      <x v="2"/>
    </i>
    <i r="1">
      <x v="3"/>
      <x v="9"/>
    </i>
    <i t="default" r="1">
      <x v="3"/>
    </i>
    <i t="default">
      <x v="2"/>
    </i>
    <i t="grand">
      <x/>
    </i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595B-7F28-4ABE-ACC1-5FE66A744103}">
  <dimension ref="B1:B5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235</v>
      </c>
    </row>
    <row r="2" spans="2:2" x14ac:dyDescent="0.35">
      <c r="B2">
        <f>GETPIVOTDATA("Metric",Grouped!$A$4,"Years (OrderDate)",2025)</f>
        <v>85</v>
      </c>
    </row>
    <row r="3" spans="2:2" x14ac:dyDescent="0.35">
      <c r="B3">
        <f>GETPIVOTDATA("Metric",Grouped!$A$4,"Years (OrderDate)",2025,"Quarters (OrderDate)","Qtr1")</f>
        <v>30</v>
      </c>
    </row>
    <row r="4" spans="2:2" x14ac:dyDescent="0.35">
      <c r="B4">
        <f>GETPIVOTDATA("Metric",Grouped!$A$4,"Years (OrderDate)",2026,"Quarters (OrderDate)","Qtr3")</f>
        <v>60</v>
      </c>
    </row>
    <row r="5" spans="2:2" x14ac:dyDescent="0.35">
      <c r="B5" t="e">
        <f>GETPIVOTDATA("Metric",Grouped!$A$4,"Years (OrderDate)",2026,"Quarters (OrderDate)","Qtr4")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AB95-0F26-4090-BA8A-544DAE794B9A}">
  <dimension ref="A4:Q8"/>
  <sheetViews>
    <sheetView workbookViewId="0"/>
  </sheetViews>
  <sheetFormatPr defaultRowHeight="14.5" x14ac:dyDescent="0.35"/>
  <cols>
    <col min="1" max="1" width="6.08984375" bestFit="1" customWidth="1"/>
    <col min="2" max="3" width="20.6328125" bestFit="1" customWidth="1"/>
    <col min="4" max="4" width="19.6328125" bestFit="1" customWidth="1"/>
    <col min="5" max="5" width="6.08984375" bestFit="1" customWidth="1"/>
    <col min="6" max="6" width="8.81640625" bestFit="1" customWidth="1"/>
    <col min="7" max="7" width="6.08984375" bestFit="1" customWidth="1"/>
    <col min="8" max="8" width="8.81640625" bestFit="1" customWidth="1"/>
    <col min="9" max="9" width="9.26953125" bestFit="1" customWidth="1"/>
    <col min="10" max="10" width="6.54296875" bestFit="1" customWidth="1"/>
    <col min="11" max="11" width="8.81640625" bestFit="1" customWidth="1"/>
    <col min="12" max="12" width="6.08984375" bestFit="1" customWidth="1"/>
    <col min="13" max="13" width="8.81640625" bestFit="1" customWidth="1"/>
    <col min="14" max="14" width="6.08984375" bestFit="1" customWidth="1"/>
    <col min="15" max="15" width="8.81640625" bestFit="1" customWidth="1"/>
    <col min="16" max="16" width="9.26953125" bestFit="1" customWidth="1"/>
    <col min="17" max="17" width="10.36328125" bestFit="1" customWidth="1"/>
  </cols>
  <sheetData>
    <row r="4" spans="1:17" x14ac:dyDescent="0.35">
      <c r="B4" s="2" t="s">
        <v>4</v>
      </c>
      <c r="C4" s="2" t="s">
        <v>5</v>
      </c>
      <c r="D4" s="2" t="s">
        <v>6</v>
      </c>
    </row>
    <row r="5" spans="1:17" x14ac:dyDescent="0.35">
      <c r="B5" t="s">
        <v>7</v>
      </c>
      <c r="I5" t="s">
        <v>18</v>
      </c>
      <c r="J5" t="s">
        <v>19</v>
      </c>
      <c r="P5" t="s">
        <v>24</v>
      </c>
      <c r="Q5" t="s">
        <v>2</v>
      </c>
    </row>
    <row r="6" spans="1:17" x14ac:dyDescent="0.35">
      <c r="B6" t="s">
        <v>8</v>
      </c>
      <c r="D6" t="s">
        <v>11</v>
      </c>
      <c r="E6" t="s">
        <v>12</v>
      </c>
      <c r="F6" t="s">
        <v>14</v>
      </c>
      <c r="G6" t="s">
        <v>15</v>
      </c>
      <c r="H6" t="s">
        <v>17</v>
      </c>
      <c r="J6" t="s">
        <v>8</v>
      </c>
      <c r="K6" t="s">
        <v>11</v>
      </c>
      <c r="L6" t="s">
        <v>20</v>
      </c>
      <c r="M6" t="s">
        <v>22</v>
      </c>
      <c r="N6" t="s">
        <v>12</v>
      </c>
      <c r="O6" t="s">
        <v>14</v>
      </c>
    </row>
    <row r="7" spans="1:17" x14ac:dyDescent="0.35">
      <c r="B7" t="s">
        <v>9</v>
      </c>
      <c r="C7" t="s">
        <v>10</v>
      </c>
      <c r="E7" t="s">
        <v>13</v>
      </c>
      <c r="G7" t="s">
        <v>16</v>
      </c>
      <c r="J7" t="s">
        <v>9</v>
      </c>
      <c r="L7" t="s">
        <v>21</v>
      </c>
      <c r="N7" t="s">
        <v>23</v>
      </c>
    </row>
    <row r="8" spans="1:17" x14ac:dyDescent="0.35">
      <c r="A8" t="s">
        <v>3</v>
      </c>
      <c r="B8" s="3">
        <v>10</v>
      </c>
      <c r="C8" s="3">
        <v>20</v>
      </c>
      <c r="D8" s="3">
        <v>30</v>
      </c>
      <c r="E8" s="3">
        <v>30</v>
      </c>
      <c r="F8" s="3">
        <v>30</v>
      </c>
      <c r="G8" s="3">
        <v>25</v>
      </c>
      <c r="H8" s="3">
        <v>25</v>
      </c>
      <c r="I8" s="3">
        <v>85</v>
      </c>
      <c r="J8" s="3">
        <v>40</v>
      </c>
      <c r="K8" s="3">
        <v>40</v>
      </c>
      <c r="L8" s="3">
        <v>50</v>
      </c>
      <c r="M8" s="3">
        <v>50</v>
      </c>
      <c r="N8" s="3">
        <v>60</v>
      </c>
      <c r="O8" s="3">
        <v>60</v>
      </c>
      <c r="P8" s="3">
        <v>150</v>
      </c>
      <c r="Q8" s="3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08EA-A060-479A-97AD-329E73E00392}">
  <dimension ref="A1:B8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45736</v>
      </c>
      <c r="B3">
        <v>20</v>
      </c>
    </row>
    <row r="4" spans="1:2" x14ac:dyDescent="0.35">
      <c r="A4" s="1">
        <v>45839</v>
      </c>
      <c r="B4">
        <v>30</v>
      </c>
    </row>
    <row r="5" spans="1:2" x14ac:dyDescent="0.35">
      <c r="A5" s="1">
        <v>45966</v>
      </c>
      <c r="B5">
        <v>25</v>
      </c>
    </row>
    <row r="6" spans="1:2" x14ac:dyDescent="0.35">
      <c r="A6" s="1">
        <v>46032</v>
      </c>
      <c r="B6">
        <v>40</v>
      </c>
    </row>
    <row r="7" spans="1:2" x14ac:dyDescent="0.35">
      <c r="A7" s="1">
        <v>46117</v>
      </c>
      <c r="B7">
        <v>50</v>
      </c>
    </row>
    <row r="8" spans="1:2" x14ac:dyDescent="0.35">
      <c r="A8" s="1">
        <v>46274</v>
      </c>
      <c r="B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2026-09-28T04:44:31Z</dcterms:created>
  <dcterms:modified xsi:type="dcterms:W3CDTF">2026-09-28T04:44:33Z</dcterms:modified>
</cp:coreProperties>
</file>