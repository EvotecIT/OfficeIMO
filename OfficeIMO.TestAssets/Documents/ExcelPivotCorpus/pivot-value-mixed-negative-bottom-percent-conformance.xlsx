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98335CA1-735F-4238-A464-431D5A6ABDD1}" xr6:coauthVersionLast="47" xr6:coauthVersionMax="47" xr10:uidLastSave="{00000000-0000-0000-0000-000000000000}"/>
  <bookViews>
    <workbookView xWindow="-110" yWindow="-110" windowWidth="38620" windowHeight="21100" xr2:uid="{A1514E09-1698-479C-BA50-B96343F22EA3}"/>
  </bookViews>
  <sheets>
    <sheet name="Lookups" sheetId="3" r:id="rId1"/>
    <sheet name="Grouped" sheetId="2" r:id="rId2"/>
    <sheet name="Source" sheetId="1" r:id="rId3"/>
  </sheets>
  <calcPr calcId="191029"/>
  <pivotCaches>
    <pivotCache cacheId="1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<sst xmlns="http://schemas.openxmlformats.org/spreadsheetml/2006/main" count="12" uniqueCount="10">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</sst>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04837615744" createdVersion="6" refreshedVersion="8" minRefreshableVersion="3" recordCount="6" xr:uid="{94CA0929-4F7B-4B99-ADFD-06FC73E85B7D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-2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30"/>
  </r>
  <r>
    <x v="1"/>
    <n v="-10"/>
  </r>
  <r>
    <x v="2"/>
    <n v="-15"/>
  </r>
  <r>
    <x v="3"/>
    <n v="-20"/>
  </r>
  <r>
    <x v="4"/>
    <n v="-20"/>
  </r>
  <r>
    <x v="5"/>
    <n v="-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44C8E-D8F1-4D4A-9596-1AD0CE44D189}" name="ValuePivot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2"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top="0" percent="1" val="40" filterVal="4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02855-6FB5-437E-8A26-0EC91CD8BBE2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-25</v>
      </c>
    </row>
    <row r="2" spans="2:2" x14ac:dyDescent="0.35">
      <c r="B2" t="e">
        <f>GETPIVOTDATA("Metric",Grouped!$A$4,"Region","Alpha")</f>
        <v>#REF!</v>
      </c>
    </row>
    <row r="3" spans="2:2" x14ac:dyDescent="0.35">
      <c r="B3" t="e">
        <f>GETPIVOTDATA("Metric",Grouped!$A$4,"Region","Bravo")</f>
        <v>#REF!</v>
      </c>
    </row>
    <row r="4" spans="2:2" x14ac:dyDescent="0.35">
      <c r="B4" t="e">
        <f>GETPIVOTDATA("Metric",Grouped!$A$4,"Region","Charlie")</f>
        <v>#REF!</v>
      </c>
    </row>
    <row r="5" spans="2:2" x14ac:dyDescent="0.35">
      <c r="B5" t="e">
        <f>GETPIVOTDATA("Metric",Grouped!$A$4,"Region","Delta")</f>
        <v>#REF!</v>
      </c>
    </row>
    <row r="6" spans="2:2" x14ac:dyDescent="0.35">
      <c r="B6" t="e">
        <f>GETPIVOTDATA("Metric",Grouped!$A$4,"Region","Echo")</f>
        <v>#REF!</v>
      </c>
    </row>
    <row r="7" spans="2:2" x14ac:dyDescent="0.35">
      <c r="B7">
        <f>GETPIVOTDATA("Metric",Grouped!$A$4,"Region","Foxtrot")</f>
        <v>-25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C9C5-D1E2-40EE-A3FE-AEE9D9D3320A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7</v>
      </c>
      <c r="B5" s="2">
        <v>-25</v>
      </c>
    </row>
    <row r="6" spans="1:2" x14ac:dyDescent="0.35">
      <c r="A6" t="s">
        <v>8</v>
      </c>
      <c r="B6" s="2">
        <v>-25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4848-AC6E-43B5-9085-C4C5A214A583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30</v>
      </c>
    </row>
    <row r="3" spans="1:2" x14ac:dyDescent="0.35">
      <c r="A3" t="s">
        <v>3</v>
      </c>
      <c r="B3">
        <v>-10</v>
      </c>
    </row>
    <row r="4" spans="1:2" x14ac:dyDescent="0.35">
      <c r="A4" t="s">
        <v>4</v>
      </c>
      <c r="B4">
        <v>-15</v>
      </c>
    </row>
    <row r="5" spans="1:2" x14ac:dyDescent="0.35">
      <c r="A5" t="s">
        <v>5</v>
      </c>
      <c r="B5">
        <v>-20</v>
      </c>
    </row>
    <row r="6" spans="1:2" x14ac:dyDescent="0.35">
      <c r="A6" t="s">
        <v>6</v>
      </c>
      <c r="B6">
        <v>-20</v>
      </c>
    </row>
    <row r="7" spans="1:2" x14ac:dyDescent="0.35">
      <c r="A7" t="s">
        <v>7</v>
      </c>
      <c r="B7">
        <v>-25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2026-09-28T07:42:57Z</dcterms:created>
  <dcterms:modified xsi:type="dcterms:W3CDTF">2026-09-28T07:42:58Z</dcterms:modified>
</cp:coreProperties>
</file>