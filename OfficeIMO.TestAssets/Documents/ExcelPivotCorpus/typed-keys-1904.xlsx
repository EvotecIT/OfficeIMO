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333F9F8-9DF7-4B88-8EA0-F61AFA2AEC06}" xr6:coauthVersionLast="47" xr6:coauthVersionMax="47" xr10:uidLastSave="{00000000-0000-0000-0000-000000000000}"/>
  <bookViews>
    <workbookView xWindow="-110" yWindow="-110" windowWidth="38620" windowHeight="21100" xr2:uid="{FDE2D279-5571-4E5E-8285-A7F2310E67C3}"/>
  </bookViews>
  <sheets>
    <sheet name="MixedNested" sheetId="12" r:id="rId1"/>
    <sheet name="MixedCol" sheetId="11" r:id="rId2"/>
    <sheet name="MixedRow" sheetId="10" r:id="rId3"/>
    <sheet name="DatesDeepCols" sheetId="9" r:id="rId4"/>
    <sheet name="DatesDeepRows" sheetId="8" r:id="rId5"/>
    <sheet name="DatesOuterCols" sheetId="7" r:id="rId6"/>
    <sheet name="DatesOuterRows" sheetId="6" r:id="rId7"/>
    <sheet name="DatesNested" sheetId="5" r:id="rId8"/>
    <sheet name="DatesCol" sheetId="4" r:id="rId9"/>
    <sheet name="DatesRow" sheetId="3" r:id="rId10"/>
    <sheet name="Lookups" sheetId="2" r:id="rId11"/>
    <sheet name="Source" sheetId="1" r:id="rId12"/>
  </sheets>
  <calcPr calcId="191029"/>
  <pivotCaches>
    <pivotCache cacheId="103" r:id="rId13"/>
    <pivotCache cacheId="111" r:id="rId14"/>
    <pivotCache cacheId="121" r:id="rId15"/>
    <pivotCache cacheId="131" r:id="rId16"/>
    <pivotCache cacheId="141" r:id="rId17"/>
    <pivotCache cacheId="153" r:id="rId18"/>
    <pivotCache cacheId="165" r:id="rId19"/>
    <pivotCache cacheId="173" r:id="rId20"/>
    <pivotCache cacheId="181" r:id="rId21"/>
    <pivotCache cacheId="19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<sst xmlns="http://schemas.openxmlformats.org/spreadsheetml/2006/main" count="337" uniqueCount="37">
  <si>
    <t>Group</t>
  </si>
  <si>
    <t>DateKey</t>
  </si>
  <si>
    <t>MixedKey</t>
  </si>
  <si>
    <t>Amount</t>
  </si>
  <si>
    <t>Child</t>
  </si>
  <si>
    <t>North</t>
  </si>
  <si>
    <t>Child1</t>
  </si>
  <si>
    <t>Child0</t>
  </si>
  <si>
    <t>South</t>
  </si>
  <si>
    <t>text</t>
  </si>
  <si>
    <t>West</t>
  </si>
  <si>
    <t>#DIV/0!</t>
  </si>
  <si>
    <t>(blank)</t>
  </si>
  <si>
    <t>Grand Total</t>
  </si>
  <si>
    <t>Revenue</t>
  </si>
  <si>
    <t>DatesRow</t>
  </si>
  <si>
    <t>DatesCol</t>
  </si>
  <si>
    <t>North Total</t>
  </si>
  <si>
    <t>South Total</t>
  </si>
  <si>
    <t>West Total</t>
  </si>
  <si>
    <t>DatesNested</t>
  </si>
  <si>
    <t>00:00:00 Total</t>
  </si>
  <si>
    <t>2.01.1904 Total</t>
  </si>
  <si>
    <t>29.02.1904 Total</t>
  </si>
  <si>
    <t>1.03.1904 Total</t>
  </si>
  <si>
    <t>1.03.1904 12:00 Total</t>
  </si>
  <si>
    <t>1.01.2024 Total</t>
  </si>
  <si>
    <t>1.01.2024 12:00 Total</t>
  </si>
  <si>
    <t>(blank) Total</t>
  </si>
  <si>
    <t>DatesOuterRows</t>
  </si>
  <si>
    <t>DatesOuterCols</t>
  </si>
  <si>
    <t>DatesDeepRows</t>
  </si>
  <si>
    <t>DatesDeepCols</t>
  </si>
  <si>
    <t>TRUE</t>
  </si>
  <si>
    <t>MixedRow</t>
  </si>
  <si>
    <t>MixedCol</t>
  </si>
  <si>
    <t>MixedNested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</si>
</sst>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\ \h\h:mm:ss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NumberFormat="1"/>
    <xf numFmtId="21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81481482" createdVersion="6" refreshedVersion="8" minRefreshableVersion="3" recordCount="14" xr:uid="{D0D349E4-DDF2-4865-9440-18F21616407E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83449076" createdVersion="6" refreshedVersion="8" minRefreshableVersion="3" recordCount="14" xr:uid="{E970A3FD-E58F-4D23-A44F-8126158CD4B2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85300923" createdVersion="6" refreshedVersion="8" minRefreshableVersion="3" recordCount="14" xr:uid="{D7F72F39-7540-4566-B826-B9CDDE72A86E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89120372" createdVersion="6" refreshedVersion="8" minRefreshableVersion="3" recordCount="14" xr:uid="{E137E59E-4C55-4D11-9B57-7B477AFDE34F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93055559" createdVersion="6" refreshedVersion="8" minRefreshableVersion="3" recordCount="14" xr:uid="{F20A8EFE-5E1A-4263-8E4F-1DFCC65A027D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96643516" createdVersion="6" refreshedVersion="8" minRefreshableVersion="3" recordCount="14" xr:uid="{1E3F93BD-1E8E-42EF-BEF7-A0043FCD8166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 count="2">
        <s v="Child1"/>
        <s v="Child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599884256" createdVersion="6" refreshedVersion="8" minRefreshableVersion="3" recordCount="14" xr:uid="{A1B2E05F-46F6-445E-B1FE-2916E7DA0E42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 count="8">
        <d v="1904-01-01T00:00:00"/>
        <d v="1904-01-02T00:00:00"/>
        <d v="1904-02-29T00:00:00"/>
        <d v="1904-03-01T00:00:00"/>
        <d v="1904-03-01T12:00:00"/>
        <d v="2024-01-01T00:00:00"/>
        <d v="2024-01-01T12:00:00"/>
        <m/>
      </sharedItems>
    </cacheField>
    <cacheField name="MixedKey" numFmtId="0">
      <sharedItems containsDate="1" containsBlank="1" containsMixedTypes="1" minDate="1904-01-01T00:00:00" maxDate="1904-01-05T09:50:04"/>
    </cacheField>
    <cacheField name="Amount" numFmtId="0">
      <sharedItems containsSemiMixedTypes="0" containsString="0" containsNumber="1" containsInteger="1" minValue="10" maxValue="120"/>
    </cacheField>
    <cacheField name="Child" numFmtId="0">
      <sharedItems count="2">
        <s v="Child1"/>
        <s v="Child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601504626" createdVersion="6" refreshedVersion="8" minRefreshableVersion="3" recordCount="14" xr:uid="{896698C1-FFF9-40E4-91E8-47DEBC0EC4CF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904-01-01T00:00:00" maxDate="2024-01-02T00:00:00"/>
    </cacheField>
    <cacheField name="MixedKey" numFmtId="0">
      <sharedItems containsDate="1" containsBlank="1" containsMixedTypes="1" minDate="1904-01-01T00:00:00" maxDate="1904-01-05T09:50:04" count="14">
        <d v="1904-01-01T00:00:00"/>
        <d v="1904-01-02T00:00:00"/>
        <d v="1904-02-29T00:00:00"/>
        <d v="1904-03-01T00:00:00"/>
        <d v="1904-03-01T12:00:00"/>
        <d v="2024-01-01T00:00:00"/>
        <d v="2024-01-01T12:00:00"/>
        <n v="42"/>
        <n v="43830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605671298" createdVersion="6" refreshedVersion="8" minRefreshableVersion="3" recordCount="14" xr:uid="{3BDD17A6-C080-43CB-BD4A-FD01380A9641}">
  <cacheSource type="worksheet">
    <worksheetSource ref="A1:E15" sheet="Source"/>
  </cacheSource>
  <cacheFields count="5">
    <cacheField name="Group" numFmtId="0">
      <sharedItems/>
    </cacheField>
    <cacheField name="DateKey" numFmtId="164">
      <sharedItems containsNonDate="0" containsDate="1" containsString="0" containsBlank="1" minDate="1904-01-01T00:00:00" maxDate="2024-01-02T00:00:00"/>
    </cacheField>
    <cacheField name="MixedKey" numFmtId="0">
      <sharedItems containsDate="1" containsBlank="1" containsMixedTypes="1" minDate="1904-01-01T00:00:00" maxDate="1904-01-05T09:50:04" count="14">
        <d v="1904-01-01T00:00:00"/>
        <d v="1904-01-02T00:00:00"/>
        <d v="1904-02-29T00:00:00"/>
        <d v="1904-03-01T00:00:00"/>
        <d v="1904-03-01T12:00:00"/>
        <d v="2024-01-01T00:00:00"/>
        <d v="2024-01-01T12:00:00"/>
        <n v="42"/>
        <n v="43830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0.781609143516" createdVersion="6" refreshedVersion="8" minRefreshableVersion="3" recordCount="14" xr:uid="{2C81F54A-AB40-4D95-BBDC-9CC1F3C385E1}">
  <cacheSource type="worksheet">
    <worksheetSource ref="A1:E15" sheet="Source"/>
  </cacheSource>
  <cacheFields count="5">
    <cacheField name="Group" numFmtId="0">
      <sharedItems count="3">
        <s v="North"/>
        <s v="South"/>
        <s v="West"/>
      </sharedItems>
    </cacheField>
    <cacheField name="DateKey" numFmtId="164">
      <sharedItems containsNonDate="0" containsDate="1" containsString="0" containsBlank="1" minDate="1904-01-01T00:00:00" maxDate="2024-01-02T00:00:00"/>
    </cacheField>
    <cacheField name="MixedKey" numFmtId="0">
      <sharedItems containsDate="1" containsBlank="1" containsMixedTypes="1" minDate="1904-01-01T00:00:00" maxDate="1904-01-05T09:50:04" count="14">
        <d v="1904-01-01T00:00:00"/>
        <d v="1904-01-02T00:00:00"/>
        <d v="1904-02-29T00:00:00"/>
        <d v="1904-03-01T00:00:00"/>
        <d v="1904-03-01T12:00:00"/>
        <d v="2024-01-01T00:00:00"/>
        <d v="2024-01-01T12:00:00"/>
        <n v="42"/>
        <n v="43830"/>
        <s v="text"/>
        <b v="1"/>
        <m/>
        <e v="#DIV/0!"/>
        <s v="#DIV/0!"/>
      </sharedItems>
    </cacheField>
    <cacheField name="Amount" numFmtId="0">
      <sharedItems containsSemiMixedTypes="0" containsString="0" containsNumber="1" containsInteger="1" minValue="10" maxValue="120"/>
    </cacheField>
    <cacheField name="Chil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x v="0"/>
    <d v="1904-01-01T00:00:00"/>
    <n v="10"/>
    <s v="Child1"/>
  </r>
  <r>
    <s v="North"/>
    <x v="1"/>
    <d v="1904-01-02T00:00:00"/>
    <n v="20"/>
    <s v="Child0"/>
  </r>
  <r>
    <s v="North"/>
    <x v="2"/>
    <d v="1904-02-29T00:00:00"/>
    <n v="30"/>
    <s v="Child1"/>
  </r>
  <r>
    <s v="North"/>
    <x v="3"/>
    <d v="1904-03-01T00:00:00"/>
    <n v="40"/>
    <s v="Child0"/>
  </r>
  <r>
    <s v="North"/>
    <x v="4"/>
    <d v="1904-03-01T12:00:00"/>
    <n v="50"/>
    <s v="Child1"/>
  </r>
  <r>
    <s v="North"/>
    <x v="5"/>
    <d v="2024-01-01T00:00:00"/>
    <n v="60"/>
    <s v="Child0"/>
  </r>
  <r>
    <s v="North"/>
    <x v="6"/>
    <d v="2024-01-01T12:00:00"/>
    <n v="70"/>
    <s v="Child1"/>
  </r>
  <r>
    <s v="South"/>
    <x v="5"/>
    <n v="42"/>
    <n v="60"/>
    <s v="Child0"/>
  </r>
  <r>
    <s v="South"/>
    <x v="5"/>
    <n v="43830"/>
    <n v="120"/>
    <s v="Child1"/>
  </r>
  <r>
    <s v="South"/>
    <x v="5"/>
    <s v="text"/>
    <n v="70"/>
    <s v="Child0"/>
  </r>
  <r>
    <s v="South"/>
    <x v="5"/>
    <b v="1"/>
    <n v="80"/>
    <s v="Child1"/>
  </r>
  <r>
    <s v="South"/>
    <x v="7"/>
    <m/>
    <n v="90"/>
    <s v="Child0"/>
  </r>
  <r>
    <s v="South"/>
    <x v="5"/>
    <e v="#DIV/0!"/>
    <n v="100"/>
    <s v="Child1"/>
  </r>
  <r>
    <s v="West"/>
    <x v="5"/>
    <s v="#DIV/0!"/>
    <n v="110"/>
    <s v="Child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x v="0"/>
    <d v="1904-01-01T00:00:00"/>
    <n v="10"/>
    <s v="Child1"/>
  </r>
  <r>
    <s v="North"/>
    <x v="1"/>
    <d v="1904-01-02T00:00:00"/>
    <n v="20"/>
    <s v="Child0"/>
  </r>
  <r>
    <s v="North"/>
    <x v="2"/>
    <d v="1904-02-29T00:00:00"/>
    <n v="30"/>
    <s v="Child1"/>
  </r>
  <r>
    <s v="North"/>
    <x v="3"/>
    <d v="1904-03-01T00:00:00"/>
    <n v="40"/>
    <s v="Child0"/>
  </r>
  <r>
    <s v="North"/>
    <x v="4"/>
    <d v="1904-03-01T12:00:00"/>
    <n v="50"/>
    <s v="Child1"/>
  </r>
  <r>
    <s v="North"/>
    <x v="5"/>
    <d v="2024-01-01T00:00:00"/>
    <n v="60"/>
    <s v="Child0"/>
  </r>
  <r>
    <s v="North"/>
    <x v="6"/>
    <d v="2024-01-01T12:00:00"/>
    <n v="70"/>
    <s v="Child1"/>
  </r>
  <r>
    <s v="South"/>
    <x v="5"/>
    <n v="42"/>
    <n v="60"/>
    <s v="Child0"/>
  </r>
  <r>
    <s v="South"/>
    <x v="5"/>
    <n v="43830"/>
    <n v="120"/>
    <s v="Child1"/>
  </r>
  <r>
    <s v="South"/>
    <x v="5"/>
    <s v="text"/>
    <n v="70"/>
    <s v="Child0"/>
  </r>
  <r>
    <s v="South"/>
    <x v="5"/>
    <b v="1"/>
    <n v="80"/>
    <s v="Child1"/>
  </r>
  <r>
    <s v="South"/>
    <x v="7"/>
    <m/>
    <n v="90"/>
    <s v="Child0"/>
  </r>
  <r>
    <s v="South"/>
    <x v="5"/>
    <e v="#DIV/0!"/>
    <n v="100"/>
    <s v="Child1"/>
  </r>
  <r>
    <s v="West"/>
    <x v="5"/>
    <s v="#DIV/0!"/>
    <n v="110"/>
    <s v="Child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904-01-01T00:00:00"/>
    <n v="10"/>
    <s v="Child1"/>
  </r>
  <r>
    <x v="0"/>
    <x v="1"/>
    <d v="1904-01-02T00:00:00"/>
    <n v="20"/>
    <s v="Child0"/>
  </r>
  <r>
    <x v="0"/>
    <x v="2"/>
    <d v="1904-02-29T00:00:00"/>
    <n v="30"/>
    <s v="Child1"/>
  </r>
  <r>
    <x v="0"/>
    <x v="3"/>
    <d v="1904-03-01T00:00:00"/>
    <n v="40"/>
    <s v="Child0"/>
  </r>
  <r>
    <x v="0"/>
    <x v="4"/>
    <d v="1904-03-01T12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3830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904-01-01T00:00:00"/>
    <n v="10"/>
    <s v="Child1"/>
  </r>
  <r>
    <x v="0"/>
    <x v="1"/>
    <d v="1904-01-02T00:00:00"/>
    <n v="20"/>
    <s v="Child0"/>
  </r>
  <r>
    <x v="0"/>
    <x v="2"/>
    <d v="1904-02-29T00:00:00"/>
    <n v="30"/>
    <s v="Child1"/>
  </r>
  <r>
    <x v="0"/>
    <x v="3"/>
    <d v="1904-03-01T00:00:00"/>
    <n v="40"/>
    <s v="Child0"/>
  </r>
  <r>
    <x v="0"/>
    <x v="4"/>
    <d v="1904-03-01T12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3830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904-01-01T00:00:00"/>
    <n v="10"/>
    <s v="Child1"/>
  </r>
  <r>
    <x v="0"/>
    <x v="1"/>
    <d v="1904-01-02T00:00:00"/>
    <n v="20"/>
    <s v="Child0"/>
  </r>
  <r>
    <x v="0"/>
    <x v="2"/>
    <d v="1904-02-29T00:00:00"/>
    <n v="30"/>
    <s v="Child1"/>
  </r>
  <r>
    <x v="0"/>
    <x v="3"/>
    <d v="1904-03-01T00:00:00"/>
    <n v="40"/>
    <s v="Child0"/>
  </r>
  <r>
    <x v="0"/>
    <x v="4"/>
    <d v="1904-03-01T12:00:00"/>
    <n v="50"/>
    <s v="Child1"/>
  </r>
  <r>
    <x v="0"/>
    <x v="5"/>
    <d v="2024-01-01T00:00:00"/>
    <n v="60"/>
    <s v="Child0"/>
  </r>
  <r>
    <x v="0"/>
    <x v="6"/>
    <d v="2024-01-01T12:00:00"/>
    <n v="70"/>
    <s v="Child1"/>
  </r>
  <r>
    <x v="1"/>
    <x v="5"/>
    <n v="42"/>
    <n v="60"/>
    <s v="Child0"/>
  </r>
  <r>
    <x v="1"/>
    <x v="5"/>
    <n v="43830"/>
    <n v="120"/>
    <s v="Child1"/>
  </r>
  <r>
    <x v="1"/>
    <x v="5"/>
    <s v="text"/>
    <n v="70"/>
    <s v="Child0"/>
  </r>
  <r>
    <x v="1"/>
    <x v="5"/>
    <b v="1"/>
    <n v="80"/>
    <s v="Child1"/>
  </r>
  <r>
    <x v="1"/>
    <x v="7"/>
    <m/>
    <n v="90"/>
    <s v="Child0"/>
  </r>
  <r>
    <x v="1"/>
    <x v="5"/>
    <e v="#DIV/0!"/>
    <n v="100"/>
    <s v="Child1"/>
  </r>
  <r>
    <x v="2"/>
    <x v="5"/>
    <s v="#DIV/0!"/>
    <n v="110"/>
    <s v="Child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904-01-01T00:00:00"/>
    <n v="10"/>
    <x v="0"/>
  </r>
  <r>
    <x v="0"/>
    <x v="1"/>
    <d v="1904-01-02T00:00:00"/>
    <n v="20"/>
    <x v="1"/>
  </r>
  <r>
    <x v="0"/>
    <x v="2"/>
    <d v="1904-02-29T00:00:00"/>
    <n v="30"/>
    <x v="0"/>
  </r>
  <r>
    <x v="0"/>
    <x v="3"/>
    <d v="1904-03-01T00:00:00"/>
    <n v="40"/>
    <x v="1"/>
  </r>
  <r>
    <x v="0"/>
    <x v="4"/>
    <d v="1904-03-01T12:00:00"/>
    <n v="50"/>
    <x v="0"/>
  </r>
  <r>
    <x v="0"/>
    <x v="5"/>
    <d v="2024-01-01T00:00:00"/>
    <n v="60"/>
    <x v="1"/>
  </r>
  <r>
    <x v="0"/>
    <x v="6"/>
    <d v="2024-01-01T12:00:00"/>
    <n v="70"/>
    <x v="0"/>
  </r>
  <r>
    <x v="1"/>
    <x v="5"/>
    <n v="42"/>
    <n v="60"/>
    <x v="1"/>
  </r>
  <r>
    <x v="1"/>
    <x v="5"/>
    <n v="43830"/>
    <n v="120"/>
    <x v="0"/>
  </r>
  <r>
    <x v="1"/>
    <x v="5"/>
    <s v="text"/>
    <n v="70"/>
    <x v="1"/>
  </r>
  <r>
    <x v="1"/>
    <x v="5"/>
    <b v="1"/>
    <n v="80"/>
    <x v="0"/>
  </r>
  <r>
    <x v="1"/>
    <x v="7"/>
    <m/>
    <n v="90"/>
    <x v="1"/>
  </r>
  <r>
    <x v="1"/>
    <x v="5"/>
    <e v="#DIV/0!"/>
    <n v="100"/>
    <x v="0"/>
  </r>
  <r>
    <x v="2"/>
    <x v="5"/>
    <s v="#DIV/0!"/>
    <n v="11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d v="1904-01-01T00:00:00"/>
    <n v="10"/>
    <x v="0"/>
  </r>
  <r>
    <x v="0"/>
    <x v="1"/>
    <d v="1904-01-02T00:00:00"/>
    <n v="20"/>
    <x v="1"/>
  </r>
  <r>
    <x v="0"/>
    <x v="2"/>
    <d v="1904-02-29T00:00:00"/>
    <n v="30"/>
    <x v="0"/>
  </r>
  <r>
    <x v="0"/>
    <x v="3"/>
    <d v="1904-03-01T00:00:00"/>
    <n v="40"/>
    <x v="1"/>
  </r>
  <r>
    <x v="0"/>
    <x v="4"/>
    <d v="1904-03-01T12:00:00"/>
    <n v="50"/>
    <x v="0"/>
  </r>
  <r>
    <x v="0"/>
    <x v="5"/>
    <d v="2024-01-01T00:00:00"/>
    <n v="60"/>
    <x v="1"/>
  </r>
  <r>
    <x v="0"/>
    <x v="6"/>
    <d v="2024-01-01T12:00:00"/>
    <n v="70"/>
    <x v="0"/>
  </r>
  <r>
    <x v="1"/>
    <x v="5"/>
    <n v="42"/>
    <n v="60"/>
    <x v="1"/>
  </r>
  <r>
    <x v="1"/>
    <x v="5"/>
    <n v="43830"/>
    <n v="120"/>
    <x v="0"/>
  </r>
  <r>
    <x v="1"/>
    <x v="5"/>
    <s v="text"/>
    <n v="70"/>
    <x v="1"/>
  </r>
  <r>
    <x v="1"/>
    <x v="5"/>
    <b v="1"/>
    <n v="80"/>
    <x v="0"/>
  </r>
  <r>
    <x v="1"/>
    <x v="7"/>
    <m/>
    <n v="90"/>
    <x v="1"/>
  </r>
  <r>
    <x v="1"/>
    <x v="5"/>
    <e v="#DIV/0!"/>
    <n v="100"/>
    <x v="0"/>
  </r>
  <r>
    <x v="2"/>
    <x v="5"/>
    <s v="#DIV/0!"/>
    <n v="11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d v="1904-01-01T00:00:00"/>
    <x v="0"/>
    <n v="10"/>
    <s v="Child1"/>
  </r>
  <r>
    <s v="North"/>
    <d v="1904-01-02T00:00:00"/>
    <x v="1"/>
    <n v="20"/>
    <s v="Child0"/>
  </r>
  <r>
    <s v="North"/>
    <d v="1904-02-29T00:00:00"/>
    <x v="2"/>
    <n v="30"/>
    <s v="Child1"/>
  </r>
  <r>
    <s v="North"/>
    <d v="1904-03-01T00:00:00"/>
    <x v="3"/>
    <n v="40"/>
    <s v="Child0"/>
  </r>
  <r>
    <s v="North"/>
    <d v="1904-03-01T12:00:00"/>
    <x v="4"/>
    <n v="50"/>
    <s v="Child1"/>
  </r>
  <r>
    <s v="North"/>
    <d v="2024-01-01T00:00:00"/>
    <x v="5"/>
    <n v="60"/>
    <s v="Child0"/>
  </r>
  <r>
    <s v="North"/>
    <d v="2024-01-01T12:00:00"/>
    <x v="6"/>
    <n v="70"/>
    <s v="Child1"/>
  </r>
  <r>
    <s v="South"/>
    <d v="2024-01-01T00:00:00"/>
    <x v="7"/>
    <n v="60"/>
    <s v="Child0"/>
  </r>
  <r>
    <s v="South"/>
    <d v="2024-01-01T00:00:00"/>
    <x v="8"/>
    <n v="120"/>
    <s v="Child1"/>
  </r>
  <r>
    <s v="South"/>
    <d v="2024-01-01T00:00:00"/>
    <x v="9"/>
    <n v="70"/>
    <s v="Child0"/>
  </r>
  <r>
    <s v="South"/>
    <d v="2024-01-01T00:00:00"/>
    <x v="10"/>
    <n v="80"/>
    <s v="Child1"/>
  </r>
  <r>
    <s v="South"/>
    <m/>
    <x v="11"/>
    <n v="90"/>
    <s v="Child0"/>
  </r>
  <r>
    <s v="South"/>
    <d v="2024-01-01T00:00:00"/>
    <x v="12"/>
    <n v="100"/>
    <s v="Child1"/>
  </r>
  <r>
    <s v="West"/>
    <d v="2024-01-01T00:00:00"/>
    <x v="13"/>
    <n v="110"/>
    <s v="Child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orth"/>
    <d v="1904-01-01T00:00:00"/>
    <x v="0"/>
    <n v="10"/>
    <s v="Child1"/>
  </r>
  <r>
    <s v="North"/>
    <d v="1904-01-02T00:00:00"/>
    <x v="1"/>
    <n v="20"/>
    <s v="Child0"/>
  </r>
  <r>
    <s v="North"/>
    <d v="1904-02-29T00:00:00"/>
    <x v="2"/>
    <n v="30"/>
    <s v="Child1"/>
  </r>
  <r>
    <s v="North"/>
    <d v="1904-03-01T00:00:00"/>
    <x v="3"/>
    <n v="40"/>
    <s v="Child0"/>
  </r>
  <r>
    <s v="North"/>
    <d v="1904-03-01T12:00:00"/>
    <x v="4"/>
    <n v="50"/>
    <s v="Child1"/>
  </r>
  <r>
    <s v="North"/>
    <d v="2024-01-01T00:00:00"/>
    <x v="5"/>
    <n v="60"/>
    <s v="Child0"/>
  </r>
  <r>
    <s v="North"/>
    <d v="2024-01-01T12:00:00"/>
    <x v="6"/>
    <n v="70"/>
    <s v="Child1"/>
  </r>
  <r>
    <s v="South"/>
    <d v="2024-01-01T00:00:00"/>
    <x v="7"/>
    <n v="60"/>
    <s v="Child0"/>
  </r>
  <r>
    <s v="South"/>
    <d v="2024-01-01T00:00:00"/>
    <x v="8"/>
    <n v="120"/>
    <s v="Child1"/>
  </r>
  <r>
    <s v="South"/>
    <d v="2024-01-01T00:00:00"/>
    <x v="9"/>
    <n v="70"/>
    <s v="Child0"/>
  </r>
  <r>
    <s v="South"/>
    <d v="2024-01-01T00:00:00"/>
    <x v="10"/>
    <n v="80"/>
    <s v="Child1"/>
  </r>
  <r>
    <s v="South"/>
    <m/>
    <x v="11"/>
    <n v="90"/>
    <s v="Child0"/>
  </r>
  <r>
    <s v="South"/>
    <d v="2024-01-01T00:00:00"/>
    <x v="12"/>
    <n v="100"/>
    <s v="Child1"/>
  </r>
  <r>
    <s v="West"/>
    <d v="2024-01-01T00:00:00"/>
    <x v="13"/>
    <n v="110"/>
    <s v="Child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d v="1904-01-01T00:00:00"/>
    <x v="0"/>
    <n v="10"/>
    <s v="Child1"/>
  </r>
  <r>
    <x v="0"/>
    <d v="1904-01-02T00:00:00"/>
    <x v="1"/>
    <n v="20"/>
    <s v="Child0"/>
  </r>
  <r>
    <x v="0"/>
    <d v="1904-02-29T00:00:00"/>
    <x v="2"/>
    <n v="30"/>
    <s v="Child1"/>
  </r>
  <r>
    <x v="0"/>
    <d v="1904-03-01T00:00:00"/>
    <x v="3"/>
    <n v="40"/>
    <s v="Child0"/>
  </r>
  <r>
    <x v="0"/>
    <d v="1904-03-01T12:00:00"/>
    <x v="4"/>
    <n v="50"/>
    <s v="Child1"/>
  </r>
  <r>
    <x v="0"/>
    <d v="2024-01-01T00:00:00"/>
    <x v="5"/>
    <n v="60"/>
    <s v="Child0"/>
  </r>
  <r>
    <x v="0"/>
    <d v="2024-01-01T12:00:00"/>
    <x v="6"/>
    <n v="70"/>
    <s v="Child1"/>
  </r>
  <r>
    <x v="1"/>
    <d v="2024-01-01T00:00:00"/>
    <x v="7"/>
    <n v="60"/>
    <s v="Child0"/>
  </r>
  <r>
    <x v="1"/>
    <d v="2024-01-01T00:00:00"/>
    <x v="8"/>
    <n v="120"/>
    <s v="Child1"/>
  </r>
  <r>
    <x v="1"/>
    <d v="2024-01-01T00:00:00"/>
    <x v="9"/>
    <n v="70"/>
    <s v="Child0"/>
  </r>
  <r>
    <x v="1"/>
    <d v="2024-01-01T00:00:00"/>
    <x v="10"/>
    <n v="80"/>
    <s v="Child1"/>
  </r>
  <r>
    <x v="1"/>
    <m/>
    <x v="11"/>
    <n v="90"/>
    <s v="Child0"/>
  </r>
  <r>
    <x v="1"/>
    <d v="2024-01-01T00:00:00"/>
    <x v="12"/>
    <n v="100"/>
    <s v="Child1"/>
  </r>
  <r>
    <x v="2"/>
    <d v="2024-01-01T00:00:00"/>
    <x v="13"/>
    <n v="110"/>
    <s v="Child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08690-145F-4A23-BA4D-87BFF6CA1B16}" name="PivotMixedNested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9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Fields count="2">
    <field x="0"/>
    <field x="2"/>
  </rowFields>
  <rowItems count="18">
    <i>
      <x/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/>
    </i>
    <i r="1">
      <x v="1"/>
    </i>
    <i r="1">
      <x v="3"/>
    </i>
    <i r="1">
      <x v="4"/>
    </i>
    <i r="1">
      <x v="5"/>
    </i>
    <i r="1">
      <x v="13"/>
    </i>
    <i t="default">
      <x v="1"/>
    </i>
    <i>
      <x v="2"/>
      <x v="2"/>
    </i>
    <i t="default">
      <x v="2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9A7D9-4462-42A6-8D53-4E8183F51748}" name="PivotMixedCol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P3" firstHeaderRow="1" firstDataRow="2" firstDataCol="1"/>
  <pivotFields count="5">
    <pivotField compact="0" outline="0" showAll="0"/>
    <pivotField compact="0" outline="0" showAll="0"/>
    <pivotField axis="axisCol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Items count="1">
    <i/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0A2AA-D8D0-4209-BE97-016249DB69A9}" name="PivotMixedRow" cacheId="17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B16" firstHeaderRow="1" firstDataRow="1" firstDataCol="1"/>
  <pivotFields count="5">
    <pivotField compact="0" outline="0" showAll="0"/>
    <pivotField compact="0" outline="0" showAll="0"/>
    <pivotField axis="axisRow" compact="0" outline="0" showAll="0">
      <items count="15">
        <item x="7"/>
        <item x="8"/>
        <item x="13"/>
        <item x="9"/>
        <item x="10"/>
        <item x="12"/>
        <item x="0"/>
        <item x="1"/>
        <item x="2"/>
        <item x="3"/>
        <item x="4"/>
        <item x="5"/>
        <item x="6"/>
        <item x="11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99FFF-3401-4F31-BD54-CE1F50949B5D}" name="PivotDatesDeepCols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AE5" firstHeaderRow="1" firstDataRow="4" firstDataCol="1"/>
  <pivotFields count="5"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axis="axisCol" compact="0" outline="0" showAll="0">
      <items count="3">
        <item x="1"/>
        <item x="0"/>
        <item t="default"/>
      </items>
    </pivotField>
  </pivotFields>
  <rowItems count="1">
    <i/>
  </rowItems>
  <colFields count="3">
    <field x="1"/>
    <field x="0"/>
    <field x="4"/>
  </colFields>
  <colItems count="30">
    <i>
      <x/>
      <x/>
      <x v="1"/>
    </i>
    <i t="default" r="1">
      <x/>
    </i>
    <i t="default">
      <x/>
    </i>
    <i>
      <x v="1"/>
      <x/>
      <x/>
    </i>
    <i t="default" r="1">
      <x/>
    </i>
    <i t="default">
      <x v="1"/>
    </i>
    <i>
      <x v="2"/>
      <x/>
      <x v="1"/>
    </i>
    <i t="default" r="1">
      <x/>
    </i>
    <i t="default">
      <x v="2"/>
    </i>
    <i>
      <x v="3"/>
      <x/>
      <x/>
    </i>
    <i t="default" r="1">
      <x/>
    </i>
    <i t="default">
      <x v="3"/>
    </i>
    <i>
      <x v="4"/>
      <x/>
      <x v="1"/>
    </i>
    <i t="default" r="1">
      <x/>
    </i>
    <i t="default">
      <x v="4"/>
    </i>
    <i>
      <x v="5"/>
      <x/>
      <x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5"/>
    </i>
    <i>
      <x v="6"/>
      <x/>
      <x v="1"/>
    </i>
    <i t="default" r="1">
      <x/>
    </i>
    <i t="default">
      <x v="6"/>
    </i>
    <i>
      <x v="7"/>
      <x v="1"/>
      <x/>
    </i>
    <i t="default" r="1">
      <x v="1"/>
    </i>
    <i t="default"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B9997-5F67-4A2D-BB9D-86BE438DE796}" name="PivotDatesDeepRows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31" firstHeaderRow="1" firstDataRow="1" firstDataCol="3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3">
    <field x="1"/>
    <field x="0"/>
    <field x="4"/>
  </rowFields>
  <rowItems count="30">
    <i>
      <x/>
      <x/>
      <x v="1"/>
    </i>
    <i t="default" r="1">
      <x/>
    </i>
    <i t="default">
      <x/>
    </i>
    <i>
      <x v="1"/>
      <x/>
      <x/>
    </i>
    <i t="default" r="1">
      <x/>
    </i>
    <i t="default">
      <x v="1"/>
    </i>
    <i>
      <x v="2"/>
      <x/>
      <x v="1"/>
    </i>
    <i t="default" r="1">
      <x/>
    </i>
    <i t="default">
      <x v="2"/>
    </i>
    <i>
      <x v="3"/>
      <x/>
      <x/>
    </i>
    <i t="default" r="1">
      <x/>
    </i>
    <i t="default">
      <x v="3"/>
    </i>
    <i>
      <x v="4"/>
      <x/>
      <x v="1"/>
    </i>
    <i t="default" r="1">
      <x/>
    </i>
    <i t="default">
      <x v="4"/>
    </i>
    <i>
      <x v="5"/>
      <x/>
      <x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5"/>
    </i>
    <i>
      <x v="6"/>
      <x/>
      <x v="1"/>
    </i>
    <i t="default" r="1">
      <x/>
    </i>
    <i t="default">
      <x v="6"/>
    </i>
    <i>
      <x v="7"/>
      <x v="1"/>
      <x/>
    </i>
    <i t="default" r="1">
      <x v="1"/>
    </i>
    <i t="default"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C9153-78DF-4056-919F-F6FB774479B0}" name="PivotDatesOuterCols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T4" firstHeaderRow="1" firstDataRow="3" firstDataCol="1"/>
  <pivotFields count="5"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2">
    <field x="1"/>
    <field x="0"/>
  </colFields>
  <colItems count="19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t="default">
      <x v="6"/>
    </i>
    <i>
      <x v="7"/>
      <x v="1"/>
    </i>
    <i t="default"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0BC37-B744-4324-A5A9-260795CECAF3}" name="PivotDatesOuterRows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20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1"/>
    <field x="0"/>
  </rowFields>
  <rowItems count="19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t="default">
      <x v="6"/>
    </i>
    <i>
      <x v="7"/>
      <x v="1"/>
    </i>
    <i t="default"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A8E69-04B8-48D3-B657-6AEB0B9CE95A}" name="PivotDatesNeste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5" firstHeaderRow="1" firstDataRow="1" firstDataCol="2"/>
  <pivotFields count="5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 v="5"/>
    </i>
    <i r="1">
      <x v="7"/>
    </i>
    <i t="default">
      <x v="1"/>
    </i>
    <i>
      <x v="2"/>
      <x v="5"/>
    </i>
    <i t="default">
      <x v="2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6CB4D-A0DA-441A-8ECA-CD8E8C2ACDC5}" name="PivotDatesCol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3" firstHeaderRow="1" firstDataRow="2" firstDataCol="1"/>
  <pivotFields count="5">
    <pivotField compact="0" outline="0" showAll="0"/>
    <pivotField axis="axisCol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715AE-0999-49AD-95E0-455499DAA2BF}" name="PivotDatesRow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B10" firstHeaderRow="1" firstDataRow="1" firstDataCol="1"/>
  <pivotFields count="5">
    <pivotField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244E-4962-4997-B527-98681DB7B109}">
  <dimension ref="A1:C19"/>
  <sheetViews>
    <sheetView tabSelected="1" workbookViewId="0"/>
  </sheetViews>
  <sheetFormatPr defaultRowHeight="14.5" x14ac:dyDescent="0.35"/>
  <cols>
    <col min="1" max="1" width="17.26953125" bestFit="1" customWidth="1"/>
    <col min="2" max="2" width="13.90625" bestFit="1" customWidth="1"/>
    <col min="3" max="3" width="8.08984375" bestFit="1" customWidth="1"/>
  </cols>
  <sheetData>
    <row r="1" spans="1:3" x14ac:dyDescent="0.35">
      <c r="A1" s="3" t="s">
        <v>0</v>
      </c>
      <c r="B1" s="3" t="s">
        <v>2</v>
      </c>
      <c r="C1" t="s">
        <v>14</v>
      </c>
    </row>
    <row r="2" spans="1:3" x14ac:dyDescent="0.35">
      <c r="A2" t="s">
        <v>5</v>
      </c>
      <c r="B2" s="5">
        <v>0</v>
      </c>
      <c r="C2" s="4">
        <v>10</v>
      </c>
    </row>
    <row r="3" spans="1:3" x14ac:dyDescent="0.35">
      <c r="B3" s="6">
        <v>1</v>
      </c>
      <c r="C3" s="4">
        <v>20</v>
      </c>
    </row>
    <row r="4" spans="1:3" x14ac:dyDescent="0.35">
      <c r="B4" s="6">
        <v>59</v>
      </c>
      <c r="C4" s="4">
        <v>30</v>
      </c>
    </row>
    <row r="5" spans="1:3" x14ac:dyDescent="0.35">
      <c r="B5" s="6">
        <v>60</v>
      </c>
      <c r="C5" s="4">
        <v>40</v>
      </c>
    </row>
    <row r="6" spans="1:3" x14ac:dyDescent="0.35">
      <c r="B6" s="7">
        <v>60.5</v>
      </c>
      <c r="C6" s="4">
        <v>50</v>
      </c>
    </row>
    <row r="7" spans="1:3" x14ac:dyDescent="0.35">
      <c r="B7" s="6">
        <v>43830</v>
      </c>
      <c r="C7" s="4">
        <v>60</v>
      </c>
    </row>
    <row r="8" spans="1:3" x14ac:dyDescent="0.35">
      <c r="B8" s="7">
        <v>43830.5</v>
      </c>
      <c r="C8" s="4">
        <v>70</v>
      </c>
    </row>
    <row r="9" spans="1:3" x14ac:dyDescent="0.35">
      <c r="A9" t="s">
        <v>17</v>
      </c>
      <c r="C9" s="4">
        <v>280</v>
      </c>
    </row>
    <row r="10" spans="1:3" x14ac:dyDescent="0.35">
      <c r="A10" t="s">
        <v>8</v>
      </c>
      <c r="B10">
        <v>42</v>
      </c>
      <c r="C10" s="4">
        <v>60</v>
      </c>
    </row>
    <row r="11" spans="1:3" x14ac:dyDescent="0.35">
      <c r="B11">
        <v>43830</v>
      </c>
      <c r="C11" s="4">
        <v>120</v>
      </c>
    </row>
    <row r="12" spans="1:3" x14ac:dyDescent="0.35">
      <c r="B12" t="s">
        <v>9</v>
      </c>
      <c r="C12" s="4">
        <v>70</v>
      </c>
    </row>
    <row r="13" spans="1:3" x14ac:dyDescent="0.35">
      <c r="B13" t="s">
        <v>33</v>
      </c>
      <c r="C13" s="4">
        <v>80</v>
      </c>
    </row>
    <row r="14" spans="1:3" x14ac:dyDescent="0.35">
      <c r="B14" t="s">
        <v>11</v>
      </c>
      <c r="C14" s="4">
        <v>100</v>
      </c>
    </row>
    <row r="15" spans="1:3" x14ac:dyDescent="0.35">
      <c r="B15" t="s">
        <v>12</v>
      </c>
      <c r="C15" s="4">
        <v>90</v>
      </c>
    </row>
    <row r="16" spans="1:3" x14ac:dyDescent="0.35">
      <c r="A16" t="s">
        <v>18</v>
      </c>
      <c r="C16" s="4">
        <v>520</v>
      </c>
    </row>
    <row r="17" spans="1:3" x14ac:dyDescent="0.35">
      <c r="A17" t="s">
        <v>10</v>
      </c>
      <c r="B17" t="s">
        <v>11</v>
      </c>
      <c r="C17" s="4">
        <v>110</v>
      </c>
    </row>
    <row r="18" spans="1:3" x14ac:dyDescent="0.35">
      <c r="A18" t="s">
        <v>19</v>
      </c>
      <c r="C18" s="4">
        <v>110</v>
      </c>
    </row>
    <row r="19" spans="1:3" x14ac:dyDescent="0.35">
      <c r="A19" t="s">
        <v>13</v>
      </c>
      <c r="C19" s="4">
        <v>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D532-FDA8-4ED1-9423-25DA45D73849}">
  <dimension ref="A1:P3"/>
  <sheetViews>
    <sheetView workbookViewId="0"/>
  </sheetViews>
  <sheetFormatPr defaultRowHeight="14.5" x14ac:dyDescent="0.35"/>
  <cols>
    <col min="1" max="1" width="8.08984375" bestFit="1" customWidth="1"/>
    <col min="2" max="15" width="13.90625" bestFit="1" customWidth="1"/>
    <col min="16" max="16" width="10.36328125" bestFit="1" customWidth="1"/>
  </cols>
  <sheetData>
    <row r="1" spans="1:16" x14ac:dyDescent="0.35">
      <c r="B1" s="3" t="s">
        <v>2</v>
      </c>
    </row>
    <row r="2" spans="1:16" x14ac:dyDescent="0.35">
      <c r="B2">
        <v>42</v>
      </c>
      <c r="C2">
        <v>43830</v>
      </c>
      <c r="D2" t="s">
        <v>11</v>
      </c>
      <c r="E2" t="s">
        <v>9</v>
      </c>
      <c r="F2" t="s">
        <v>33</v>
      </c>
      <c r="G2" t="s">
        <v>11</v>
      </c>
      <c r="H2" s="5">
        <v>0</v>
      </c>
      <c r="I2" s="6">
        <v>1</v>
      </c>
      <c r="J2" s="6">
        <v>59</v>
      </c>
      <c r="K2" s="6">
        <v>60</v>
      </c>
      <c r="L2" s="7">
        <v>60.5</v>
      </c>
      <c r="M2" s="6">
        <v>43830</v>
      </c>
      <c r="N2" s="7">
        <v>43830.5</v>
      </c>
      <c r="O2" t="s">
        <v>12</v>
      </c>
      <c r="P2" t="s">
        <v>13</v>
      </c>
    </row>
    <row r="3" spans="1:16" x14ac:dyDescent="0.35">
      <c r="A3" t="s">
        <v>14</v>
      </c>
      <c r="B3" s="4">
        <v>60</v>
      </c>
      <c r="C3" s="4">
        <v>120</v>
      </c>
      <c r="D3" s="4">
        <v>110</v>
      </c>
      <c r="E3" s="4">
        <v>70</v>
      </c>
      <c r="F3" s="4">
        <v>80</v>
      </c>
      <c r="G3" s="4">
        <v>100</v>
      </c>
      <c r="H3" s="4">
        <v>10</v>
      </c>
      <c r="I3" s="4">
        <v>20</v>
      </c>
      <c r="J3" s="4">
        <v>30</v>
      </c>
      <c r="K3" s="4">
        <v>40</v>
      </c>
      <c r="L3" s="4">
        <v>50</v>
      </c>
      <c r="M3" s="4">
        <v>60</v>
      </c>
      <c r="N3" s="4">
        <v>70</v>
      </c>
      <c r="O3" s="4">
        <v>90</v>
      </c>
      <c r="P3" s="4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F1DC-9220-46CD-856B-643ED37352EC}">
  <dimension ref="A1:B16"/>
  <sheetViews>
    <sheetView workbookViewId="0"/>
  </sheetViews>
  <sheetFormatPr defaultRowHeight="14.5" x14ac:dyDescent="0.35"/>
  <cols>
    <col min="1" max="1" width="13.90625" bestFit="1" customWidth="1"/>
    <col min="2" max="2" width="8.08984375" bestFit="1" customWidth="1"/>
  </cols>
  <sheetData>
    <row r="1" spans="1:2" x14ac:dyDescent="0.35">
      <c r="A1" s="3" t="s">
        <v>2</v>
      </c>
      <c r="B1" t="s">
        <v>14</v>
      </c>
    </row>
    <row r="2" spans="1:2" x14ac:dyDescent="0.35">
      <c r="A2">
        <v>42</v>
      </c>
      <c r="B2" s="4">
        <v>60</v>
      </c>
    </row>
    <row r="3" spans="1:2" x14ac:dyDescent="0.35">
      <c r="A3">
        <v>43830</v>
      </c>
      <c r="B3" s="4">
        <v>120</v>
      </c>
    </row>
    <row r="4" spans="1:2" x14ac:dyDescent="0.35">
      <c r="A4" t="s">
        <v>11</v>
      </c>
      <c r="B4" s="4">
        <v>110</v>
      </c>
    </row>
    <row r="5" spans="1:2" x14ac:dyDescent="0.35">
      <c r="A5" t="s">
        <v>9</v>
      </c>
      <c r="B5" s="4">
        <v>70</v>
      </c>
    </row>
    <row r="6" spans="1:2" x14ac:dyDescent="0.35">
      <c r="A6" t="s">
        <v>33</v>
      </c>
      <c r="B6" s="4">
        <v>80</v>
      </c>
    </row>
    <row r="7" spans="1:2" x14ac:dyDescent="0.35">
      <c r="A7" t="s">
        <v>11</v>
      </c>
      <c r="B7" s="4">
        <v>100</v>
      </c>
    </row>
    <row r="8" spans="1:2" x14ac:dyDescent="0.35">
      <c r="A8" s="5">
        <v>0</v>
      </c>
      <c r="B8" s="4">
        <v>10</v>
      </c>
    </row>
    <row r="9" spans="1:2" x14ac:dyDescent="0.35">
      <c r="A9" s="6">
        <v>1</v>
      </c>
      <c r="B9" s="4">
        <v>20</v>
      </c>
    </row>
    <row r="10" spans="1:2" x14ac:dyDescent="0.35">
      <c r="A10" s="6">
        <v>59</v>
      </c>
      <c r="B10" s="4">
        <v>30</v>
      </c>
    </row>
    <row r="11" spans="1:2" x14ac:dyDescent="0.35">
      <c r="A11" s="6">
        <v>60</v>
      </c>
      <c r="B11" s="4">
        <v>40</v>
      </c>
    </row>
    <row r="12" spans="1:2" x14ac:dyDescent="0.35">
      <c r="A12" s="7">
        <v>60.5</v>
      </c>
      <c r="B12" s="4">
        <v>50</v>
      </c>
    </row>
    <row r="13" spans="1:2" x14ac:dyDescent="0.35">
      <c r="A13" s="6">
        <v>43830</v>
      </c>
      <c r="B13" s="4">
        <v>60</v>
      </c>
    </row>
    <row r="14" spans="1:2" x14ac:dyDescent="0.35">
      <c r="A14" s="7">
        <v>43830.5</v>
      </c>
      <c r="B14" s="4">
        <v>70</v>
      </c>
    </row>
    <row r="15" spans="1:2" x14ac:dyDescent="0.35">
      <c r="A15" t="s">
        <v>12</v>
      </c>
      <c r="B15" s="4">
        <v>90</v>
      </c>
    </row>
    <row r="16" spans="1:2" x14ac:dyDescent="0.35">
      <c r="A16" t="s">
        <v>13</v>
      </c>
      <c r="B16" s="4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6EE4-6B82-401B-A9FD-3233B9D36073}">
  <dimension ref="A1:AE5"/>
  <sheetViews>
    <sheetView workbookViewId="0"/>
  </sheetViews>
  <sheetFormatPr defaultRowHeight="14.5" x14ac:dyDescent="0.35"/>
  <cols>
    <col min="1" max="1" width="8.08984375" bestFit="1" customWidth="1"/>
    <col min="2" max="2" width="10" bestFit="1" customWidth="1"/>
    <col min="3" max="3" width="9.90625" bestFit="1" customWidth="1"/>
    <col min="4" max="4" width="12.36328125" bestFit="1" customWidth="1"/>
    <col min="5" max="5" width="10.6328125" bestFit="1" customWidth="1"/>
    <col min="6" max="6" width="9.90625" bestFit="1" customWidth="1"/>
    <col min="7" max="7" width="13.453125" bestFit="1" customWidth="1"/>
    <col min="8" max="8" width="11.6328125" bestFit="1" customWidth="1"/>
    <col min="9" max="9" width="9.90625" bestFit="1" customWidth="1"/>
    <col min="10" max="10" width="14.453125" bestFit="1" customWidth="1"/>
    <col min="11" max="11" width="10.6328125" bestFit="1" customWidth="1"/>
    <col min="12" max="12" width="9.90625" bestFit="1" customWidth="1"/>
    <col min="13" max="13" width="13.453125" bestFit="1" customWidth="1"/>
    <col min="14" max="14" width="15.6328125" bestFit="1" customWidth="1"/>
    <col min="15" max="15" width="9.90625" bestFit="1" customWidth="1"/>
    <col min="16" max="16" width="18.453125" bestFit="1" customWidth="1"/>
    <col min="17" max="17" width="10.6328125" bestFit="1" customWidth="1"/>
    <col min="18" max="18" width="9.90625" bestFit="1" customWidth="1"/>
    <col min="19" max="20" width="7.453125" bestFit="1" customWidth="1"/>
    <col min="21" max="21" width="10.1796875" bestFit="1" customWidth="1"/>
    <col min="22" max="22" width="6.7265625" bestFit="1" customWidth="1"/>
    <col min="23" max="23" width="9.453125" bestFit="1" customWidth="1"/>
    <col min="24" max="24" width="13.453125" bestFit="1" customWidth="1"/>
    <col min="25" max="25" width="15.6328125" bestFit="1" customWidth="1"/>
    <col min="26" max="26" width="9.90625" bestFit="1" customWidth="1"/>
    <col min="27" max="27" width="18.453125" bestFit="1" customWidth="1"/>
    <col min="28" max="28" width="8.54296875" bestFit="1" customWidth="1"/>
    <col min="29" max="29" width="10.1796875" bestFit="1" customWidth="1"/>
    <col min="30" max="30" width="11.26953125" bestFit="1" customWidth="1"/>
    <col min="31" max="31" width="10.36328125" bestFit="1" customWidth="1"/>
  </cols>
  <sheetData>
    <row r="1" spans="1:31" x14ac:dyDescent="0.35">
      <c r="B1" s="3" t="s">
        <v>1</v>
      </c>
      <c r="C1" s="3" t="s">
        <v>0</v>
      </c>
      <c r="D1" s="3" t="s">
        <v>4</v>
      </c>
    </row>
    <row r="2" spans="1:31" x14ac:dyDescent="0.35">
      <c r="B2" s="5">
        <v>0</v>
      </c>
      <c r="D2" t="s">
        <v>21</v>
      </c>
      <c r="E2" s="6">
        <v>1</v>
      </c>
      <c r="G2" t="s">
        <v>22</v>
      </c>
      <c r="H2" s="6">
        <v>59</v>
      </c>
      <c r="J2" t="s">
        <v>23</v>
      </c>
      <c r="K2" s="6">
        <v>60</v>
      </c>
      <c r="M2" t="s">
        <v>24</v>
      </c>
      <c r="N2" s="7">
        <v>60.5</v>
      </c>
      <c r="P2" t="s">
        <v>25</v>
      </c>
      <c r="Q2" s="6">
        <v>43830</v>
      </c>
      <c r="X2" t="s">
        <v>26</v>
      </c>
      <c r="Y2" s="7">
        <v>43830.5</v>
      </c>
      <c r="AA2" t="s">
        <v>27</v>
      </c>
      <c r="AB2" t="s">
        <v>12</v>
      </c>
      <c r="AD2" t="s">
        <v>28</v>
      </c>
      <c r="AE2" t="s">
        <v>13</v>
      </c>
    </row>
    <row r="3" spans="1:31" x14ac:dyDescent="0.35">
      <c r="B3" t="s">
        <v>5</v>
      </c>
      <c r="C3" t="s">
        <v>17</v>
      </c>
      <c r="E3" t="s">
        <v>5</v>
      </c>
      <c r="F3" t="s">
        <v>17</v>
      </c>
      <c r="H3" t="s">
        <v>5</v>
      </c>
      <c r="I3" t="s">
        <v>17</v>
      </c>
      <c r="K3" t="s">
        <v>5</v>
      </c>
      <c r="L3" t="s">
        <v>17</v>
      </c>
      <c r="N3" t="s">
        <v>5</v>
      </c>
      <c r="O3" t="s">
        <v>17</v>
      </c>
      <c r="Q3" t="s">
        <v>5</v>
      </c>
      <c r="R3" t="s">
        <v>17</v>
      </c>
      <c r="S3" t="s">
        <v>8</v>
      </c>
      <c r="U3" t="s">
        <v>18</v>
      </c>
      <c r="V3" t="s">
        <v>10</v>
      </c>
      <c r="W3" t="s">
        <v>19</v>
      </c>
      <c r="Y3" t="s">
        <v>5</v>
      </c>
      <c r="Z3" t="s">
        <v>17</v>
      </c>
      <c r="AB3" t="s">
        <v>8</v>
      </c>
      <c r="AC3" t="s">
        <v>18</v>
      </c>
    </row>
    <row r="4" spans="1:31" x14ac:dyDescent="0.35">
      <c r="B4" t="s">
        <v>6</v>
      </c>
      <c r="E4" t="s">
        <v>7</v>
      </c>
      <c r="H4" t="s">
        <v>6</v>
      </c>
      <c r="K4" t="s">
        <v>7</v>
      </c>
      <c r="N4" t="s">
        <v>6</v>
      </c>
      <c r="Q4" t="s">
        <v>7</v>
      </c>
      <c r="S4" t="s">
        <v>7</v>
      </c>
      <c r="T4" t="s">
        <v>6</v>
      </c>
      <c r="V4" t="s">
        <v>7</v>
      </c>
      <c r="Y4" t="s">
        <v>6</v>
      </c>
      <c r="AB4" t="s">
        <v>7</v>
      </c>
    </row>
    <row r="5" spans="1:31" x14ac:dyDescent="0.35">
      <c r="A5" t="s">
        <v>14</v>
      </c>
      <c r="B5" s="4">
        <v>10</v>
      </c>
      <c r="C5" s="4">
        <v>10</v>
      </c>
      <c r="D5" s="4">
        <v>10</v>
      </c>
      <c r="E5" s="4">
        <v>20</v>
      </c>
      <c r="F5" s="4">
        <v>20</v>
      </c>
      <c r="G5" s="4">
        <v>20</v>
      </c>
      <c r="H5" s="4">
        <v>30</v>
      </c>
      <c r="I5" s="4">
        <v>30</v>
      </c>
      <c r="J5" s="4">
        <v>30</v>
      </c>
      <c r="K5" s="4">
        <v>40</v>
      </c>
      <c r="L5" s="4">
        <v>40</v>
      </c>
      <c r="M5" s="4">
        <v>40</v>
      </c>
      <c r="N5" s="4">
        <v>50</v>
      </c>
      <c r="O5" s="4">
        <v>50</v>
      </c>
      <c r="P5" s="4">
        <v>50</v>
      </c>
      <c r="Q5" s="4">
        <v>60</v>
      </c>
      <c r="R5" s="4">
        <v>60</v>
      </c>
      <c r="S5" s="4">
        <v>130</v>
      </c>
      <c r="T5" s="4">
        <v>300</v>
      </c>
      <c r="U5" s="4">
        <v>430</v>
      </c>
      <c r="V5" s="4">
        <v>110</v>
      </c>
      <c r="W5" s="4">
        <v>110</v>
      </c>
      <c r="X5" s="4">
        <v>600</v>
      </c>
      <c r="Y5" s="4">
        <v>70</v>
      </c>
      <c r="Z5" s="4">
        <v>70</v>
      </c>
      <c r="AA5" s="4">
        <v>70</v>
      </c>
      <c r="AB5" s="4">
        <v>90</v>
      </c>
      <c r="AC5" s="4">
        <v>90</v>
      </c>
      <c r="AD5" s="4">
        <v>90</v>
      </c>
      <c r="AE5" s="4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CCDE-570D-49EC-83DD-358C6AB596DB}">
  <dimension ref="A1:D31"/>
  <sheetViews>
    <sheetView workbookViewId="0"/>
  </sheetViews>
  <sheetFormatPr defaultRowHeight="14.5" x14ac:dyDescent="0.35"/>
  <cols>
    <col min="1" max="1" width="15.6328125" bestFit="1" customWidth="1"/>
    <col min="2" max="2" width="8.08984375" bestFit="1" customWidth="1"/>
    <col min="3" max="3" width="7.6328125" bestFit="1" customWidth="1"/>
    <col min="4" max="4" width="8.08984375" bestFit="1" customWidth="1"/>
  </cols>
  <sheetData>
    <row r="1" spans="1:4" x14ac:dyDescent="0.35">
      <c r="A1" s="3" t="s">
        <v>1</v>
      </c>
      <c r="B1" s="3" t="s">
        <v>0</v>
      </c>
      <c r="C1" s="3" t="s">
        <v>4</v>
      </c>
      <c r="D1" t="s">
        <v>14</v>
      </c>
    </row>
    <row r="2" spans="1:4" x14ac:dyDescent="0.35">
      <c r="A2" s="5">
        <v>0</v>
      </c>
      <c r="B2" t="s">
        <v>5</v>
      </c>
      <c r="C2" t="s">
        <v>6</v>
      </c>
      <c r="D2" s="4">
        <v>10</v>
      </c>
    </row>
    <row r="3" spans="1:4" x14ac:dyDescent="0.35">
      <c r="B3" t="s">
        <v>17</v>
      </c>
      <c r="D3" s="4">
        <v>10</v>
      </c>
    </row>
    <row r="4" spans="1:4" x14ac:dyDescent="0.35">
      <c r="A4" t="s">
        <v>21</v>
      </c>
      <c r="D4" s="4">
        <v>10</v>
      </c>
    </row>
    <row r="5" spans="1:4" x14ac:dyDescent="0.35">
      <c r="A5" s="6">
        <v>1</v>
      </c>
      <c r="B5" t="s">
        <v>5</v>
      </c>
      <c r="C5" t="s">
        <v>7</v>
      </c>
      <c r="D5" s="4">
        <v>20</v>
      </c>
    </row>
    <row r="6" spans="1:4" x14ac:dyDescent="0.35">
      <c r="B6" t="s">
        <v>17</v>
      </c>
      <c r="D6" s="4">
        <v>20</v>
      </c>
    </row>
    <row r="7" spans="1:4" x14ac:dyDescent="0.35">
      <c r="A7" t="s">
        <v>22</v>
      </c>
      <c r="D7" s="4">
        <v>20</v>
      </c>
    </row>
    <row r="8" spans="1:4" x14ac:dyDescent="0.35">
      <c r="A8" s="6">
        <v>59</v>
      </c>
      <c r="B8" t="s">
        <v>5</v>
      </c>
      <c r="C8" t="s">
        <v>6</v>
      </c>
      <c r="D8" s="4">
        <v>30</v>
      </c>
    </row>
    <row r="9" spans="1:4" x14ac:dyDescent="0.35">
      <c r="B9" t="s">
        <v>17</v>
      </c>
      <c r="D9" s="4">
        <v>30</v>
      </c>
    </row>
    <row r="10" spans="1:4" x14ac:dyDescent="0.35">
      <c r="A10" t="s">
        <v>23</v>
      </c>
      <c r="D10" s="4">
        <v>30</v>
      </c>
    </row>
    <row r="11" spans="1:4" x14ac:dyDescent="0.35">
      <c r="A11" s="6">
        <v>60</v>
      </c>
      <c r="B11" t="s">
        <v>5</v>
      </c>
      <c r="C11" t="s">
        <v>7</v>
      </c>
      <c r="D11" s="4">
        <v>40</v>
      </c>
    </row>
    <row r="12" spans="1:4" x14ac:dyDescent="0.35">
      <c r="B12" t="s">
        <v>17</v>
      </c>
      <c r="D12" s="4">
        <v>40</v>
      </c>
    </row>
    <row r="13" spans="1:4" x14ac:dyDescent="0.35">
      <c r="A13" t="s">
        <v>24</v>
      </c>
      <c r="D13" s="4">
        <v>40</v>
      </c>
    </row>
    <row r="14" spans="1:4" x14ac:dyDescent="0.35">
      <c r="A14" s="7">
        <v>60.5</v>
      </c>
      <c r="B14" t="s">
        <v>5</v>
      </c>
      <c r="C14" t="s">
        <v>6</v>
      </c>
      <c r="D14" s="4">
        <v>50</v>
      </c>
    </row>
    <row r="15" spans="1:4" x14ac:dyDescent="0.35">
      <c r="B15" t="s">
        <v>17</v>
      </c>
      <c r="D15" s="4">
        <v>50</v>
      </c>
    </row>
    <row r="16" spans="1:4" x14ac:dyDescent="0.35">
      <c r="A16" t="s">
        <v>25</v>
      </c>
      <c r="D16" s="4">
        <v>50</v>
      </c>
    </row>
    <row r="17" spans="1:4" x14ac:dyDescent="0.35">
      <c r="A17" s="6">
        <v>43830</v>
      </c>
      <c r="B17" t="s">
        <v>5</v>
      </c>
      <c r="C17" t="s">
        <v>7</v>
      </c>
      <c r="D17" s="4">
        <v>60</v>
      </c>
    </row>
    <row r="18" spans="1:4" x14ac:dyDescent="0.35">
      <c r="B18" t="s">
        <v>17</v>
      </c>
      <c r="D18" s="4">
        <v>60</v>
      </c>
    </row>
    <row r="19" spans="1:4" x14ac:dyDescent="0.35">
      <c r="B19" t="s">
        <v>8</v>
      </c>
      <c r="C19" t="s">
        <v>7</v>
      </c>
      <c r="D19" s="4">
        <v>130</v>
      </c>
    </row>
    <row r="20" spans="1:4" x14ac:dyDescent="0.35">
      <c r="C20" t="s">
        <v>6</v>
      </c>
      <c r="D20" s="4">
        <v>300</v>
      </c>
    </row>
    <row r="21" spans="1:4" x14ac:dyDescent="0.35">
      <c r="B21" t="s">
        <v>18</v>
      </c>
      <c r="D21" s="4">
        <v>430</v>
      </c>
    </row>
    <row r="22" spans="1:4" x14ac:dyDescent="0.35">
      <c r="B22" t="s">
        <v>10</v>
      </c>
      <c r="C22" t="s">
        <v>7</v>
      </c>
      <c r="D22" s="4">
        <v>110</v>
      </c>
    </row>
    <row r="23" spans="1:4" x14ac:dyDescent="0.35">
      <c r="B23" t="s">
        <v>19</v>
      </c>
      <c r="D23" s="4">
        <v>110</v>
      </c>
    </row>
    <row r="24" spans="1:4" x14ac:dyDescent="0.35">
      <c r="A24" t="s">
        <v>26</v>
      </c>
      <c r="D24" s="4">
        <v>600</v>
      </c>
    </row>
    <row r="25" spans="1:4" x14ac:dyDescent="0.35">
      <c r="A25" s="7">
        <v>43830.5</v>
      </c>
      <c r="B25" t="s">
        <v>5</v>
      </c>
      <c r="C25" t="s">
        <v>6</v>
      </c>
      <c r="D25" s="4">
        <v>70</v>
      </c>
    </row>
    <row r="26" spans="1:4" x14ac:dyDescent="0.35">
      <c r="B26" t="s">
        <v>17</v>
      </c>
      <c r="D26" s="4">
        <v>70</v>
      </c>
    </row>
    <row r="27" spans="1:4" x14ac:dyDescent="0.35">
      <c r="A27" t="s">
        <v>27</v>
      </c>
      <c r="D27" s="4">
        <v>70</v>
      </c>
    </row>
    <row r="28" spans="1:4" x14ac:dyDescent="0.35">
      <c r="A28" t="s">
        <v>12</v>
      </c>
      <c r="B28" t="s">
        <v>8</v>
      </c>
      <c r="C28" t="s">
        <v>7</v>
      </c>
      <c r="D28" s="4">
        <v>90</v>
      </c>
    </row>
    <row r="29" spans="1:4" x14ac:dyDescent="0.35">
      <c r="B29" t="s">
        <v>18</v>
      </c>
      <c r="D29" s="4">
        <v>90</v>
      </c>
    </row>
    <row r="30" spans="1:4" x14ac:dyDescent="0.35">
      <c r="A30" t="s">
        <v>28</v>
      </c>
      <c r="D30" s="4">
        <v>90</v>
      </c>
    </row>
    <row r="31" spans="1:4" x14ac:dyDescent="0.35">
      <c r="A31" t="s">
        <v>13</v>
      </c>
      <c r="D31" s="4">
        <v>910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41F2-9351-45BB-BE17-BA64715D2F1E}">
  <dimension ref="A1:T4"/>
  <sheetViews>
    <sheetView workbookViewId="0"/>
  </sheetViews>
  <sheetFormatPr defaultRowHeight="14.5" x14ac:dyDescent="0.35"/>
  <cols>
    <col min="1" max="1" width="8.08984375" bestFit="1" customWidth="1"/>
    <col min="2" max="2" width="10" bestFit="1" customWidth="1"/>
    <col min="3" max="3" width="12.36328125" bestFit="1" customWidth="1"/>
    <col min="4" max="4" width="10.6328125" bestFit="1" customWidth="1"/>
    <col min="5" max="5" width="13.453125" bestFit="1" customWidth="1"/>
    <col min="6" max="6" width="11.6328125" bestFit="1" customWidth="1"/>
    <col min="7" max="7" width="14.453125" bestFit="1" customWidth="1"/>
    <col min="8" max="8" width="10.6328125" bestFit="1" customWidth="1"/>
    <col min="9" max="9" width="13.453125" bestFit="1" customWidth="1"/>
    <col min="10" max="10" width="15.6328125" bestFit="1" customWidth="1"/>
    <col min="11" max="11" width="18.453125" bestFit="1" customWidth="1"/>
    <col min="12" max="14" width="10.6328125" bestFit="1" customWidth="1"/>
    <col min="15" max="15" width="13.453125" bestFit="1" customWidth="1"/>
    <col min="16" max="16" width="15.6328125" bestFit="1" customWidth="1"/>
    <col min="17" max="17" width="18.453125" bestFit="1" customWidth="1"/>
    <col min="18" max="18" width="8.54296875" bestFit="1" customWidth="1"/>
    <col min="19" max="19" width="11.26953125" bestFit="1" customWidth="1"/>
    <col min="20" max="20" width="10.36328125" bestFit="1" customWidth="1"/>
  </cols>
  <sheetData>
    <row r="1" spans="1:20" x14ac:dyDescent="0.35">
      <c r="B1" s="3" t="s">
        <v>1</v>
      </c>
      <c r="C1" s="3" t="s">
        <v>0</v>
      </c>
    </row>
    <row r="2" spans="1:20" x14ac:dyDescent="0.35">
      <c r="B2" s="5">
        <v>0</v>
      </c>
      <c r="C2" t="s">
        <v>21</v>
      </c>
      <c r="D2" s="6">
        <v>1</v>
      </c>
      <c r="E2" t="s">
        <v>22</v>
      </c>
      <c r="F2" s="6">
        <v>59</v>
      </c>
      <c r="G2" t="s">
        <v>23</v>
      </c>
      <c r="H2" s="6">
        <v>60</v>
      </c>
      <c r="I2" t="s">
        <v>24</v>
      </c>
      <c r="J2" s="7">
        <v>60.5</v>
      </c>
      <c r="K2" t="s">
        <v>25</v>
      </c>
      <c r="L2" s="6">
        <v>43830</v>
      </c>
      <c r="O2" t="s">
        <v>26</v>
      </c>
      <c r="P2" s="7">
        <v>43830.5</v>
      </c>
      <c r="Q2" t="s">
        <v>27</v>
      </c>
      <c r="R2" t="s">
        <v>12</v>
      </c>
      <c r="S2" t="s">
        <v>28</v>
      </c>
      <c r="T2" t="s">
        <v>13</v>
      </c>
    </row>
    <row r="3" spans="1:20" x14ac:dyDescent="0.35">
      <c r="B3" t="s">
        <v>5</v>
      </c>
      <c r="D3" t="s">
        <v>5</v>
      </c>
      <c r="F3" t="s">
        <v>5</v>
      </c>
      <c r="H3" t="s">
        <v>5</v>
      </c>
      <c r="J3" t="s">
        <v>5</v>
      </c>
      <c r="L3" t="s">
        <v>5</v>
      </c>
      <c r="M3" t="s">
        <v>8</v>
      </c>
      <c r="N3" t="s">
        <v>10</v>
      </c>
      <c r="P3" t="s">
        <v>5</v>
      </c>
      <c r="R3" t="s">
        <v>8</v>
      </c>
    </row>
    <row r="4" spans="1:20" x14ac:dyDescent="0.35">
      <c r="A4" t="s">
        <v>14</v>
      </c>
      <c r="B4" s="4">
        <v>10</v>
      </c>
      <c r="C4" s="4">
        <v>10</v>
      </c>
      <c r="D4" s="4">
        <v>20</v>
      </c>
      <c r="E4" s="4">
        <v>20</v>
      </c>
      <c r="F4" s="4">
        <v>30</v>
      </c>
      <c r="G4" s="4">
        <v>30</v>
      </c>
      <c r="H4" s="4">
        <v>40</v>
      </c>
      <c r="I4" s="4">
        <v>40</v>
      </c>
      <c r="J4" s="4">
        <v>50</v>
      </c>
      <c r="K4" s="4">
        <v>50</v>
      </c>
      <c r="L4" s="4">
        <v>60</v>
      </c>
      <c r="M4" s="4">
        <v>430</v>
      </c>
      <c r="N4" s="4">
        <v>110</v>
      </c>
      <c r="O4" s="4">
        <v>600</v>
      </c>
      <c r="P4" s="4">
        <v>70</v>
      </c>
      <c r="Q4" s="4">
        <v>70</v>
      </c>
      <c r="R4" s="4">
        <v>90</v>
      </c>
      <c r="S4" s="4">
        <v>90</v>
      </c>
      <c r="T4" s="4">
        <v>910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DB23-9377-4F98-84B4-095636F5B0AA}">
  <dimension ref="A1:C20"/>
  <sheetViews>
    <sheetView workbookViewId="0"/>
  </sheetViews>
  <sheetFormatPr defaultRowHeight="14.5" x14ac:dyDescent="0.35"/>
  <cols>
    <col min="1" max="1" width="15.6328125" bestFit="1" customWidth="1"/>
    <col min="2" max="2" width="8.1796875" bestFit="1" customWidth="1"/>
    <col min="3" max="3" width="8.08984375" bestFit="1" customWidth="1"/>
  </cols>
  <sheetData>
    <row r="1" spans="1:3" x14ac:dyDescent="0.35">
      <c r="A1" s="3" t="s">
        <v>1</v>
      </c>
      <c r="B1" s="3" t="s">
        <v>0</v>
      </c>
      <c r="C1" t="s">
        <v>14</v>
      </c>
    </row>
    <row r="2" spans="1:3" x14ac:dyDescent="0.35">
      <c r="A2" s="5">
        <v>0</v>
      </c>
      <c r="B2" t="s">
        <v>5</v>
      </c>
      <c r="C2" s="4">
        <v>10</v>
      </c>
    </row>
    <row r="3" spans="1:3" x14ac:dyDescent="0.35">
      <c r="A3" t="s">
        <v>21</v>
      </c>
      <c r="C3" s="4">
        <v>10</v>
      </c>
    </row>
    <row r="4" spans="1:3" x14ac:dyDescent="0.35">
      <c r="A4" s="6">
        <v>1</v>
      </c>
      <c r="B4" t="s">
        <v>5</v>
      </c>
      <c r="C4" s="4">
        <v>20</v>
      </c>
    </row>
    <row r="5" spans="1:3" x14ac:dyDescent="0.35">
      <c r="A5" t="s">
        <v>22</v>
      </c>
      <c r="C5" s="4">
        <v>20</v>
      </c>
    </row>
    <row r="6" spans="1:3" x14ac:dyDescent="0.35">
      <c r="A6" s="6">
        <v>59</v>
      </c>
      <c r="B6" t="s">
        <v>5</v>
      </c>
      <c r="C6" s="4">
        <v>30</v>
      </c>
    </row>
    <row r="7" spans="1:3" x14ac:dyDescent="0.35">
      <c r="A7" t="s">
        <v>23</v>
      </c>
      <c r="C7" s="4">
        <v>30</v>
      </c>
    </row>
    <row r="8" spans="1:3" x14ac:dyDescent="0.35">
      <c r="A8" s="6">
        <v>60</v>
      </c>
      <c r="B8" t="s">
        <v>5</v>
      </c>
      <c r="C8" s="4">
        <v>40</v>
      </c>
    </row>
    <row r="9" spans="1:3" x14ac:dyDescent="0.35">
      <c r="A9" t="s">
        <v>24</v>
      </c>
      <c r="C9" s="4">
        <v>40</v>
      </c>
    </row>
    <row r="10" spans="1:3" x14ac:dyDescent="0.35">
      <c r="A10" s="7">
        <v>60.5</v>
      </c>
      <c r="B10" t="s">
        <v>5</v>
      </c>
      <c r="C10" s="4">
        <v>50</v>
      </c>
    </row>
    <row r="11" spans="1:3" x14ac:dyDescent="0.35">
      <c r="A11" t="s">
        <v>25</v>
      </c>
      <c r="C11" s="4">
        <v>50</v>
      </c>
    </row>
    <row r="12" spans="1:3" x14ac:dyDescent="0.35">
      <c r="A12" s="6">
        <v>43830</v>
      </c>
      <c r="B12" t="s">
        <v>5</v>
      </c>
      <c r="C12" s="4">
        <v>60</v>
      </c>
    </row>
    <row r="13" spans="1:3" x14ac:dyDescent="0.35">
      <c r="B13" t="s">
        <v>8</v>
      </c>
      <c r="C13" s="4">
        <v>430</v>
      </c>
    </row>
    <row r="14" spans="1:3" x14ac:dyDescent="0.35">
      <c r="B14" t="s">
        <v>10</v>
      </c>
      <c r="C14" s="4">
        <v>110</v>
      </c>
    </row>
    <row r="15" spans="1:3" x14ac:dyDescent="0.35">
      <c r="A15" t="s">
        <v>26</v>
      </c>
      <c r="C15" s="4">
        <v>600</v>
      </c>
    </row>
    <row r="16" spans="1:3" x14ac:dyDescent="0.35">
      <c r="A16" s="7">
        <v>43830.5</v>
      </c>
      <c r="B16" t="s">
        <v>5</v>
      </c>
      <c r="C16" s="4">
        <v>70</v>
      </c>
    </row>
    <row r="17" spans="1:3" x14ac:dyDescent="0.35">
      <c r="A17" t="s">
        <v>27</v>
      </c>
      <c r="C17" s="4">
        <v>70</v>
      </c>
    </row>
    <row r="18" spans="1:3" x14ac:dyDescent="0.35">
      <c r="A18" t="s">
        <v>12</v>
      </c>
      <c r="B18" t="s">
        <v>8</v>
      </c>
      <c r="C18" s="4">
        <v>90</v>
      </c>
    </row>
    <row r="19" spans="1:3" x14ac:dyDescent="0.35">
      <c r="A19" t="s">
        <v>28</v>
      </c>
      <c r="C19" s="4">
        <v>90</v>
      </c>
    </row>
    <row r="20" spans="1:3" x14ac:dyDescent="0.35">
      <c r="A20" t="s">
        <v>13</v>
      </c>
      <c r="C20" s="4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B8C1-E242-4E7D-875D-30931BA94F5C}">
  <dimension ref="A1:C15"/>
  <sheetViews>
    <sheetView workbookViewId="0"/>
  </sheetViews>
  <sheetFormatPr defaultRowHeight="14.5" x14ac:dyDescent="0.35"/>
  <cols>
    <col min="1" max="1" width="17.26953125" bestFit="1" customWidth="1"/>
    <col min="2" max="2" width="13.90625" bestFit="1" customWidth="1"/>
    <col min="3" max="3" width="8.08984375" bestFit="1" customWidth="1"/>
  </cols>
  <sheetData>
    <row r="1" spans="1:3" x14ac:dyDescent="0.35">
      <c r="A1" s="3" t="s">
        <v>0</v>
      </c>
      <c r="B1" s="3" t="s">
        <v>1</v>
      </c>
      <c r="C1" t="s">
        <v>14</v>
      </c>
    </row>
    <row r="2" spans="1:3" x14ac:dyDescent="0.35">
      <c r="A2" t="s">
        <v>5</v>
      </c>
      <c r="B2" s="5">
        <v>0</v>
      </c>
      <c r="C2" s="4">
        <v>10</v>
      </c>
    </row>
    <row r="3" spans="1:3" x14ac:dyDescent="0.35">
      <c r="B3" s="6">
        <v>1</v>
      </c>
      <c r="C3" s="4">
        <v>20</v>
      </c>
    </row>
    <row r="4" spans="1:3" x14ac:dyDescent="0.35">
      <c r="B4" s="6">
        <v>59</v>
      </c>
      <c r="C4" s="4">
        <v>30</v>
      </c>
    </row>
    <row r="5" spans="1:3" x14ac:dyDescent="0.35">
      <c r="B5" s="6">
        <v>60</v>
      </c>
      <c r="C5" s="4">
        <v>40</v>
      </c>
    </row>
    <row r="6" spans="1:3" x14ac:dyDescent="0.35">
      <c r="B6" s="7">
        <v>60.5</v>
      </c>
      <c r="C6" s="4">
        <v>50</v>
      </c>
    </row>
    <row r="7" spans="1:3" x14ac:dyDescent="0.35">
      <c r="B7" s="6">
        <v>43830</v>
      </c>
      <c r="C7" s="4">
        <v>60</v>
      </c>
    </row>
    <row r="8" spans="1:3" x14ac:dyDescent="0.35">
      <c r="B8" s="7">
        <v>43830.5</v>
      </c>
      <c r="C8" s="4">
        <v>70</v>
      </c>
    </row>
    <row r="9" spans="1:3" x14ac:dyDescent="0.35">
      <c r="A9" t="s">
        <v>17</v>
      </c>
      <c r="C9" s="4">
        <v>280</v>
      </c>
    </row>
    <row r="10" spans="1:3" x14ac:dyDescent="0.35">
      <c r="A10" t="s">
        <v>8</v>
      </c>
      <c r="B10" s="6">
        <v>43830</v>
      </c>
      <c r="C10" s="4">
        <v>430</v>
      </c>
    </row>
    <row r="11" spans="1:3" x14ac:dyDescent="0.35">
      <c r="B11" t="s">
        <v>12</v>
      </c>
      <c r="C11" s="4">
        <v>90</v>
      </c>
    </row>
    <row r="12" spans="1:3" x14ac:dyDescent="0.35">
      <c r="A12" t="s">
        <v>18</v>
      </c>
      <c r="C12" s="4">
        <v>520</v>
      </c>
    </row>
    <row r="13" spans="1:3" x14ac:dyDescent="0.35">
      <c r="A13" t="s">
        <v>10</v>
      </c>
      <c r="B13" s="6">
        <v>43830</v>
      </c>
      <c r="C13" s="4">
        <v>110</v>
      </c>
    </row>
    <row r="14" spans="1:3" x14ac:dyDescent="0.35">
      <c r="A14" t="s">
        <v>19</v>
      </c>
      <c r="C14" s="4">
        <v>110</v>
      </c>
    </row>
    <row r="15" spans="1:3" x14ac:dyDescent="0.35">
      <c r="A15" t="s">
        <v>13</v>
      </c>
      <c r="C15" s="4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0FFF-7D54-4549-92C7-6CAE74FEEA2E}">
  <dimension ref="A1:J3"/>
  <sheetViews>
    <sheetView workbookViewId="0"/>
  </sheetViews>
  <sheetFormatPr defaultRowHeight="14.5" x14ac:dyDescent="0.35"/>
  <cols>
    <col min="1" max="1" width="8.08984375" bestFit="1" customWidth="1"/>
    <col min="2" max="9" width="13.90625" bestFit="1" customWidth="1"/>
    <col min="10" max="10" width="10.36328125" bestFit="1" customWidth="1"/>
  </cols>
  <sheetData>
    <row r="1" spans="1:10" x14ac:dyDescent="0.35">
      <c r="B1" s="3" t="s">
        <v>1</v>
      </c>
    </row>
    <row r="2" spans="1:10" x14ac:dyDescent="0.35">
      <c r="B2" s="5">
        <v>0</v>
      </c>
      <c r="C2" s="6">
        <v>1</v>
      </c>
      <c r="D2" s="6">
        <v>59</v>
      </c>
      <c r="E2" s="6">
        <v>60</v>
      </c>
      <c r="F2" s="7">
        <v>60.5</v>
      </c>
      <c r="G2" s="6">
        <v>43830</v>
      </c>
      <c r="H2" s="7">
        <v>43830.5</v>
      </c>
      <c r="I2" t="s">
        <v>12</v>
      </c>
      <c r="J2" t="s">
        <v>13</v>
      </c>
    </row>
    <row r="3" spans="1:10" x14ac:dyDescent="0.35">
      <c r="A3" t="s">
        <v>14</v>
      </c>
      <c r="B3" s="4">
        <v>10</v>
      </c>
      <c r="C3" s="4">
        <v>20</v>
      </c>
      <c r="D3" s="4">
        <v>30</v>
      </c>
      <c r="E3" s="4">
        <v>40</v>
      </c>
      <c r="F3" s="4">
        <v>50</v>
      </c>
      <c r="G3" s="4">
        <v>600</v>
      </c>
      <c r="H3" s="4">
        <v>70</v>
      </c>
      <c r="I3" s="4">
        <v>90</v>
      </c>
      <c r="J3" s="4">
        <v>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9EBF-F6F6-4D26-9FCA-F4D4F158E5EA}">
  <dimension ref="A1:B10"/>
  <sheetViews>
    <sheetView workbookViewId="0"/>
  </sheetViews>
  <sheetFormatPr defaultRowHeight="14.5" x14ac:dyDescent="0.35"/>
  <cols>
    <col min="1" max="1" width="13.90625" bestFit="1" customWidth="1"/>
    <col min="2" max="2" width="8.08984375" bestFit="1" customWidth="1"/>
  </cols>
  <sheetData>
    <row r="1" spans="1:2" x14ac:dyDescent="0.35">
      <c r="A1" s="3" t="s">
        <v>1</v>
      </c>
      <c r="B1" t="s">
        <v>14</v>
      </c>
    </row>
    <row r="2" spans="1:2" x14ac:dyDescent="0.35">
      <c r="A2" s="5">
        <v>0</v>
      </c>
      <c r="B2" s="4">
        <v>10</v>
      </c>
    </row>
    <row r="3" spans="1:2" x14ac:dyDescent="0.35">
      <c r="A3" s="6">
        <v>1</v>
      </c>
      <c r="B3" s="4">
        <v>20</v>
      </c>
    </row>
    <row r="4" spans="1:2" x14ac:dyDescent="0.35">
      <c r="A4" s="6">
        <v>59</v>
      </c>
      <c r="B4" s="4">
        <v>30</v>
      </c>
    </row>
    <row r="5" spans="1:2" x14ac:dyDescent="0.35">
      <c r="A5" s="6">
        <v>60</v>
      </c>
      <c r="B5" s="4">
        <v>40</v>
      </c>
    </row>
    <row r="6" spans="1:2" x14ac:dyDescent="0.35">
      <c r="A6" s="7">
        <v>60.5</v>
      </c>
      <c r="B6" s="4">
        <v>50</v>
      </c>
    </row>
    <row r="7" spans="1:2" x14ac:dyDescent="0.35">
      <c r="A7" s="6">
        <v>43830</v>
      </c>
      <c r="B7" s="4">
        <v>600</v>
      </c>
    </row>
    <row r="8" spans="1:2" x14ac:dyDescent="0.35">
      <c r="A8" s="7">
        <v>43830.5</v>
      </c>
      <c r="B8" s="4">
        <v>70</v>
      </c>
    </row>
    <row r="9" spans="1:2" x14ac:dyDescent="0.35">
      <c r="A9" t="s">
        <v>12</v>
      </c>
      <c r="B9" s="4">
        <v>90</v>
      </c>
    </row>
    <row r="10" spans="1:2" x14ac:dyDescent="0.35">
      <c r="A10" t="s">
        <v>13</v>
      </c>
      <c r="B10" s="4">
        <v>910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D21B-02CC-46D1-BFC3-8A0204CF217A}">
  <dimension ref="A1:B116"/>
  <sheetViews>
    <sheetView workbookViewId="0"/>
  </sheetViews>
  <sheetFormatPr defaultRowHeight="14.5" x14ac:dyDescent="0.35"/>
  <sheetData>
    <row r="1" spans="1:2" x14ac:dyDescent="0.35">
      <c r="A1" t="s">
        <v>15</v>
      </c>
      <c r="B1">
        <f>GETPIVOTDATA("Revenue",DatesRow!A1)</f>
        <v>910</v>
      </c>
    </row>
    <row r="2" spans="1:2" x14ac:dyDescent="0.35">
      <c r="A2" t="s">
        <v>15</v>
      </c>
      <c r="B2">
        <f>GETPIVOTDATA("Revenue",DatesRow!A1,"DateKey",0)</f>
        <v>10</v>
      </c>
    </row>
    <row r="3" spans="1:2" x14ac:dyDescent="0.35">
      <c r="A3" t="s">
        <v>15</v>
      </c>
      <c r="B3">
        <f>GETPIVOTDATA("Revenue",DatesRow!A1,"DateKey",1)</f>
        <v>20</v>
      </c>
    </row>
    <row r="4" spans="1:2" x14ac:dyDescent="0.35">
      <c r="A4" t="s">
        <v>15</v>
      </c>
      <c r="B4">
        <f>GETPIVOTDATA("Revenue",DatesRow!A1,"DateKey",59)</f>
        <v>30</v>
      </c>
    </row>
    <row r="5" spans="1:2" x14ac:dyDescent="0.35">
      <c r="A5" t="s">
        <v>15</v>
      </c>
      <c r="B5">
        <f>GETPIVOTDATA("Revenue",DatesRow!A1,"DateKey",60)</f>
        <v>40</v>
      </c>
    </row>
    <row r="6" spans="1:2" x14ac:dyDescent="0.35">
      <c r="A6" t="s">
        <v>15</v>
      </c>
      <c r="B6">
        <f>GETPIVOTDATA("Revenue",DatesRow!A1,"DateKey",60.5)</f>
        <v>50</v>
      </c>
    </row>
    <row r="7" spans="1:2" x14ac:dyDescent="0.35">
      <c r="A7" t="s">
        <v>15</v>
      </c>
      <c r="B7">
        <f>GETPIVOTDATA("Revenue",DatesRow!A1,"DateKey",43830)</f>
        <v>600</v>
      </c>
    </row>
    <row r="8" spans="1:2" x14ac:dyDescent="0.35">
      <c r="A8" t="s">
        <v>15</v>
      </c>
      <c r="B8">
        <f>GETPIVOTDATA("Revenue",DatesRow!A1,"DateKey",43830.5)</f>
        <v>70</v>
      </c>
    </row>
    <row r="9" spans="1:2" x14ac:dyDescent="0.35">
      <c r="A9" t="s">
        <v>15</v>
      </c>
      <c r="B9">
        <f>GETPIVOTDATA("Revenue",DatesRow!A1,"DateKey","(blank)")</f>
        <v>90</v>
      </c>
    </row>
    <row r="10" spans="1:2" x14ac:dyDescent="0.35">
      <c r="A10" t="s">
        <v>16</v>
      </c>
      <c r="B10">
        <f>GETPIVOTDATA("Revenue",DatesCol!A1)</f>
        <v>910</v>
      </c>
    </row>
    <row r="11" spans="1:2" x14ac:dyDescent="0.35">
      <c r="A11" t="s">
        <v>16</v>
      </c>
      <c r="B11">
        <f>GETPIVOTDATA("Revenue",DatesCol!A1,"DateKey",0)</f>
        <v>10</v>
      </c>
    </row>
    <row r="12" spans="1:2" x14ac:dyDescent="0.35">
      <c r="A12" t="s">
        <v>16</v>
      </c>
      <c r="B12">
        <f>GETPIVOTDATA("Revenue",DatesCol!A1,"DateKey",1)</f>
        <v>20</v>
      </c>
    </row>
    <row r="13" spans="1:2" x14ac:dyDescent="0.35">
      <c r="A13" t="s">
        <v>16</v>
      </c>
      <c r="B13">
        <f>GETPIVOTDATA("Revenue",DatesCol!A1,"DateKey",59)</f>
        <v>30</v>
      </c>
    </row>
    <row r="14" spans="1:2" x14ac:dyDescent="0.35">
      <c r="A14" t="s">
        <v>16</v>
      </c>
      <c r="B14">
        <f>GETPIVOTDATA("Revenue",DatesCol!A1,"DateKey",60)</f>
        <v>40</v>
      </c>
    </row>
    <row r="15" spans="1:2" x14ac:dyDescent="0.35">
      <c r="A15" t="s">
        <v>16</v>
      </c>
      <c r="B15">
        <f>GETPIVOTDATA("Revenue",DatesCol!A1,"DateKey",60.5)</f>
        <v>50</v>
      </c>
    </row>
    <row r="16" spans="1:2" x14ac:dyDescent="0.35">
      <c r="A16" t="s">
        <v>16</v>
      </c>
      <c r="B16">
        <f>GETPIVOTDATA("Revenue",DatesCol!A1,"DateKey",43830)</f>
        <v>600</v>
      </c>
    </row>
    <row r="17" spans="1:2" x14ac:dyDescent="0.35">
      <c r="A17" t="s">
        <v>16</v>
      </c>
      <c r="B17">
        <f>GETPIVOTDATA("Revenue",DatesCol!A1,"DateKey",43830.5)</f>
        <v>70</v>
      </c>
    </row>
    <row r="18" spans="1:2" x14ac:dyDescent="0.35">
      <c r="A18" t="s">
        <v>16</v>
      </c>
      <c r="B18">
        <f>GETPIVOTDATA("Revenue",DatesCol!A1,"DateKey","(blank)")</f>
        <v>90</v>
      </c>
    </row>
    <row r="19" spans="1:2" x14ac:dyDescent="0.35">
      <c r="A19" t="s">
        <v>20</v>
      </c>
      <c r="B19">
        <f>GETPIVOTDATA("Revenue",DatesNested!A1)</f>
        <v>910</v>
      </c>
    </row>
    <row r="20" spans="1:2" x14ac:dyDescent="0.35">
      <c r="A20" t="s">
        <v>20</v>
      </c>
      <c r="B20">
        <f>GETPIVOTDATA("Revenue",DatesNested!A1,"DateKey",0)</f>
        <v>10</v>
      </c>
    </row>
    <row r="21" spans="1:2" x14ac:dyDescent="0.35">
      <c r="A21" t="s">
        <v>20</v>
      </c>
      <c r="B21">
        <f>GETPIVOTDATA("Revenue",DatesNested!A1,"DateKey",1)</f>
        <v>20</v>
      </c>
    </row>
    <row r="22" spans="1:2" x14ac:dyDescent="0.35">
      <c r="A22" t="s">
        <v>20</v>
      </c>
      <c r="B22">
        <f>GETPIVOTDATA("Revenue",DatesNested!A1,"DateKey",59)</f>
        <v>30</v>
      </c>
    </row>
    <row r="23" spans="1:2" x14ac:dyDescent="0.35">
      <c r="A23" t="s">
        <v>20</v>
      </c>
      <c r="B23">
        <f>GETPIVOTDATA("Revenue",DatesNested!A1,"DateKey",60)</f>
        <v>40</v>
      </c>
    </row>
    <row r="24" spans="1:2" x14ac:dyDescent="0.35">
      <c r="A24" t="s">
        <v>20</v>
      </c>
      <c r="B24">
        <f>GETPIVOTDATA("Revenue",DatesNested!A1,"DateKey",60.5)</f>
        <v>50</v>
      </c>
    </row>
    <row r="25" spans="1:2" x14ac:dyDescent="0.35">
      <c r="A25" t="s">
        <v>20</v>
      </c>
      <c r="B25" t="e">
        <f>GETPIVOTDATA("Revenue",DatesNested!A1,"DateKey",43830)</f>
        <v>#REF!</v>
      </c>
    </row>
    <row r="26" spans="1:2" x14ac:dyDescent="0.35">
      <c r="A26" t="s">
        <v>20</v>
      </c>
      <c r="B26">
        <f>GETPIVOTDATA("Revenue",DatesNested!A1,"DateKey",43830.5)</f>
        <v>70</v>
      </c>
    </row>
    <row r="27" spans="1:2" x14ac:dyDescent="0.35">
      <c r="A27" t="s">
        <v>20</v>
      </c>
      <c r="B27">
        <f>GETPIVOTDATA("Revenue",DatesNested!A1,"DateKey","(blank)")</f>
        <v>90</v>
      </c>
    </row>
    <row r="28" spans="1:2" x14ac:dyDescent="0.35">
      <c r="A28" t="s">
        <v>20</v>
      </c>
      <c r="B28">
        <f>GETPIVOTDATA("Revenue",DatesNested!A1,"Group","South")</f>
        <v>520</v>
      </c>
    </row>
    <row r="29" spans="1:2" x14ac:dyDescent="0.35">
      <c r="A29" t="s">
        <v>20</v>
      </c>
      <c r="B29">
        <f>GETPIVOTDATA("Revenue",DatesNested!A1,"Group","South","DateKey",43830)</f>
        <v>430</v>
      </c>
    </row>
    <row r="30" spans="1:2" x14ac:dyDescent="0.35">
      <c r="A30" t="s">
        <v>29</v>
      </c>
      <c r="B30">
        <f>GETPIVOTDATA("Revenue",DatesOuterRows!A1)</f>
        <v>910</v>
      </c>
    </row>
    <row r="31" spans="1:2" x14ac:dyDescent="0.35">
      <c r="A31" t="s">
        <v>29</v>
      </c>
      <c r="B31">
        <f>GETPIVOTDATA("Revenue",DatesOuterRows!A1,"DateKey",0)</f>
        <v>10</v>
      </c>
    </row>
    <row r="32" spans="1:2" x14ac:dyDescent="0.35">
      <c r="A32" t="s">
        <v>29</v>
      </c>
      <c r="B32">
        <f>GETPIVOTDATA("Revenue",DatesOuterRows!A1,"DateKey",1)</f>
        <v>20</v>
      </c>
    </row>
    <row r="33" spans="1:2" x14ac:dyDescent="0.35">
      <c r="A33" t="s">
        <v>29</v>
      </c>
      <c r="B33">
        <f>GETPIVOTDATA("Revenue",DatesOuterRows!A1,"DateKey",59)</f>
        <v>30</v>
      </c>
    </row>
    <row r="34" spans="1:2" x14ac:dyDescent="0.35">
      <c r="A34" t="s">
        <v>29</v>
      </c>
      <c r="B34">
        <f>GETPIVOTDATA("Revenue",DatesOuterRows!A1,"DateKey",60)</f>
        <v>40</v>
      </c>
    </row>
    <row r="35" spans="1:2" x14ac:dyDescent="0.35">
      <c r="A35" t="s">
        <v>29</v>
      </c>
      <c r="B35">
        <f>GETPIVOTDATA("Revenue",DatesOuterRows!A1,"DateKey",60.5)</f>
        <v>50</v>
      </c>
    </row>
    <row r="36" spans="1:2" x14ac:dyDescent="0.35">
      <c r="A36" t="s">
        <v>29</v>
      </c>
      <c r="B36">
        <f>GETPIVOTDATA("Revenue",DatesOuterRows!A1,"DateKey",43830)</f>
        <v>600</v>
      </c>
    </row>
    <row r="37" spans="1:2" x14ac:dyDescent="0.35">
      <c r="A37" t="s">
        <v>29</v>
      </c>
      <c r="B37">
        <f>GETPIVOTDATA("Revenue",DatesOuterRows!A1,"DateKey",43830.5)</f>
        <v>70</v>
      </c>
    </row>
    <row r="38" spans="1:2" x14ac:dyDescent="0.35">
      <c r="A38" t="s">
        <v>29</v>
      </c>
      <c r="B38">
        <f>GETPIVOTDATA("Revenue",DatesOuterRows!A1,"DateKey","(blank)")</f>
        <v>90</v>
      </c>
    </row>
    <row r="39" spans="1:2" x14ac:dyDescent="0.35">
      <c r="A39" t="s">
        <v>29</v>
      </c>
      <c r="B39" t="e">
        <f>GETPIVOTDATA("Revenue",DatesOuterRows!A1,"Group","South")</f>
        <v>#REF!</v>
      </c>
    </row>
    <row r="40" spans="1:2" x14ac:dyDescent="0.35">
      <c r="A40" t="s">
        <v>29</v>
      </c>
      <c r="B40">
        <f>GETPIVOTDATA("Revenue",DatesOuterRows!A1,"Group","South","DateKey",43830)</f>
        <v>430</v>
      </c>
    </row>
    <row r="41" spans="1:2" x14ac:dyDescent="0.35">
      <c r="A41" t="s">
        <v>30</v>
      </c>
      <c r="B41">
        <f>GETPIVOTDATA("Revenue",DatesOuterCols!A1)</f>
        <v>910</v>
      </c>
    </row>
    <row r="42" spans="1:2" x14ac:dyDescent="0.35">
      <c r="A42" t="s">
        <v>30</v>
      </c>
      <c r="B42">
        <f>GETPIVOTDATA("Revenue",DatesOuterCols!A1,"DateKey",0)</f>
        <v>10</v>
      </c>
    </row>
    <row r="43" spans="1:2" x14ac:dyDescent="0.35">
      <c r="A43" t="s">
        <v>30</v>
      </c>
      <c r="B43">
        <f>GETPIVOTDATA("Revenue",DatesOuterCols!A1,"DateKey",1)</f>
        <v>20</v>
      </c>
    </row>
    <row r="44" spans="1:2" x14ac:dyDescent="0.35">
      <c r="A44" t="s">
        <v>30</v>
      </c>
      <c r="B44">
        <f>GETPIVOTDATA("Revenue",DatesOuterCols!A1,"DateKey",59)</f>
        <v>30</v>
      </c>
    </row>
    <row r="45" spans="1:2" x14ac:dyDescent="0.35">
      <c r="A45" t="s">
        <v>30</v>
      </c>
      <c r="B45">
        <f>GETPIVOTDATA("Revenue",DatesOuterCols!A1,"DateKey",60)</f>
        <v>40</v>
      </c>
    </row>
    <row r="46" spans="1:2" x14ac:dyDescent="0.35">
      <c r="A46" t="s">
        <v>30</v>
      </c>
      <c r="B46">
        <f>GETPIVOTDATA("Revenue",DatesOuterCols!A1,"DateKey",60.5)</f>
        <v>50</v>
      </c>
    </row>
    <row r="47" spans="1:2" x14ac:dyDescent="0.35">
      <c r="A47" t="s">
        <v>30</v>
      </c>
      <c r="B47">
        <f>GETPIVOTDATA("Revenue",DatesOuterCols!A1,"DateKey",43830)</f>
        <v>600</v>
      </c>
    </row>
    <row r="48" spans="1:2" x14ac:dyDescent="0.35">
      <c r="A48" t="s">
        <v>30</v>
      </c>
      <c r="B48">
        <f>GETPIVOTDATA("Revenue",DatesOuterCols!A1,"DateKey",43830.5)</f>
        <v>70</v>
      </c>
    </row>
    <row r="49" spans="1:2" x14ac:dyDescent="0.35">
      <c r="A49" t="s">
        <v>30</v>
      </c>
      <c r="B49">
        <f>GETPIVOTDATA("Revenue",DatesOuterCols!A1,"DateKey","(blank)")</f>
        <v>90</v>
      </c>
    </row>
    <row r="50" spans="1:2" x14ac:dyDescent="0.35">
      <c r="A50" t="s">
        <v>30</v>
      </c>
      <c r="B50" t="e">
        <f>GETPIVOTDATA("Revenue",DatesOuterCols!A1,"Group","South")</f>
        <v>#REF!</v>
      </c>
    </row>
    <row r="51" spans="1:2" x14ac:dyDescent="0.35">
      <c r="A51" t="s">
        <v>30</v>
      </c>
      <c r="B51">
        <f>GETPIVOTDATA("Revenue",DatesOuterCols!A1,"Group","South","DateKey",43830)</f>
        <v>430</v>
      </c>
    </row>
    <row r="52" spans="1:2" x14ac:dyDescent="0.35">
      <c r="A52" t="s">
        <v>31</v>
      </c>
      <c r="B52">
        <f>GETPIVOTDATA("Revenue",DatesDeepRows!A1)</f>
        <v>910</v>
      </c>
    </row>
    <row r="53" spans="1:2" x14ac:dyDescent="0.35">
      <c r="A53" t="s">
        <v>31</v>
      </c>
      <c r="B53">
        <f>GETPIVOTDATA("Revenue",DatesDeepRows!A1,"DateKey",0)</f>
        <v>10</v>
      </c>
    </row>
    <row r="54" spans="1:2" x14ac:dyDescent="0.35">
      <c r="A54" t="s">
        <v>31</v>
      </c>
      <c r="B54">
        <f>GETPIVOTDATA("Revenue",DatesDeepRows!A1,"DateKey",1)</f>
        <v>20</v>
      </c>
    </row>
    <row r="55" spans="1:2" x14ac:dyDescent="0.35">
      <c r="A55" t="s">
        <v>31</v>
      </c>
      <c r="B55">
        <f>GETPIVOTDATA("Revenue",DatesDeepRows!A1,"DateKey",59)</f>
        <v>30</v>
      </c>
    </row>
    <row r="56" spans="1:2" x14ac:dyDescent="0.35">
      <c r="A56" t="s">
        <v>31</v>
      </c>
      <c r="B56">
        <f>GETPIVOTDATA("Revenue",DatesDeepRows!A1,"DateKey",60)</f>
        <v>40</v>
      </c>
    </row>
    <row r="57" spans="1:2" x14ac:dyDescent="0.35">
      <c r="A57" t="s">
        <v>31</v>
      </c>
      <c r="B57">
        <f>GETPIVOTDATA("Revenue",DatesDeepRows!A1,"DateKey",60.5)</f>
        <v>50</v>
      </c>
    </row>
    <row r="58" spans="1:2" x14ac:dyDescent="0.35">
      <c r="A58" t="s">
        <v>31</v>
      </c>
      <c r="B58">
        <f>GETPIVOTDATA("Revenue",DatesDeepRows!A1,"DateKey",43830)</f>
        <v>600</v>
      </c>
    </row>
    <row r="59" spans="1:2" x14ac:dyDescent="0.35">
      <c r="A59" t="s">
        <v>31</v>
      </c>
      <c r="B59">
        <f>GETPIVOTDATA("Revenue",DatesDeepRows!A1,"DateKey",43830.5)</f>
        <v>70</v>
      </c>
    </row>
    <row r="60" spans="1:2" x14ac:dyDescent="0.35">
      <c r="A60" t="s">
        <v>31</v>
      </c>
      <c r="B60">
        <f>GETPIVOTDATA("Revenue",DatesDeepRows!A1,"DateKey","(blank)")</f>
        <v>90</v>
      </c>
    </row>
    <row r="61" spans="1:2" x14ac:dyDescent="0.35">
      <c r="A61" t="s">
        <v>31</v>
      </c>
      <c r="B61" t="e">
        <f>GETPIVOTDATA("Revenue",DatesDeepRows!A1,"Group","South")</f>
        <v>#REF!</v>
      </c>
    </row>
    <row r="62" spans="1:2" x14ac:dyDescent="0.35">
      <c r="A62" t="s">
        <v>31</v>
      </c>
      <c r="B62">
        <f>GETPIVOTDATA("Revenue",DatesDeepRows!A1,"Group","South","DateKey",43830)</f>
        <v>430</v>
      </c>
    </row>
    <row r="63" spans="1:2" x14ac:dyDescent="0.35">
      <c r="A63" t="s">
        <v>32</v>
      </c>
      <c r="B63">
        <f>GETPIVOTDATA("Revenue",DatesDeepCols!A1)</f>
        <v>910</v>
      </c>
    </row>
    <row r="64" spans="1:2" x14ac:dyDescent="0.35">
      <c r="A64" t="s">
        <v>32</v>
      </c>
      <c r="B64">
        <f>GETPIVOTDATA("Revenue",DatesDeepCols!A1,"DateKey",0)</f>
        <v>10</v>
      </c>
    </row>
    <row r="65" spans="1:2" x14ac:dyDescent="0.35">
      <c r="A65" t="s">
        <v>32</v>
      </c>
      <c r="B65">
        <f>GETPIVOTDATA("Revenue",DatesDeepCols!A1,"DateKey",1)</f>
        <v>20</v>
      </c>
    </row>
    <row r="66" spans="1:2" x14ac:dyDescent="0.35">
      <c r="A66" t="s">
        <v>32</v>
      </c>
      <c r="B66">
        <f>GETPIVOTDATA("Revenue",DatesDeepCols!A1,"DateKey",59)</f>
        <v>30</v>
      </c>
    </row>
    <row r="67" spans="1:2" x14ac:dyDescent="0.35">
      <c r="A67" t="s">
        <v>32</v>
      </c>
      <c r="B67">
        <f>GETPIVOTDATA("Revenue",DatesDeepCols!A1,"DateKey",60)</f>
        <v>40</v>
      </c>
    </row>
    <row r="68" spans="1:2" x14ac:dyDescent="0.35">
      <c r="A68" t="s">
        <v>32</v>
      </c>
      <c r="B68">
        <f>GETPIVOTDATA("Revenue",DatesDeepCols!A1,"DateKey",60.5)</f>
        <v>50</v>
      </c>
    </row>
    <row r="69" spans="1:2" x14ac:dyDescent="0.35">
      <c r="A69" t="s">
        <v>32</v>
      </c>
      <c r="B69">
        <f>GETPIVOTDATA("Revenue",DatesDeepCols!A1,"DateKey",43830)</f>
        <v>600</v>
      </c>
    </row>
    <row r="70" spans="1:2" x14ac:dyDescent="0.35">
      <c r="A70" t="s">
        <v>32</v>
      </c>
      <c r="B70">
        <f>GETPIVOTDATA("Revenue",DatesDeepCols!A1,"DateKey",43830.5)</f>
        <v>70</v>
      </c>
    </row>
    <row r="71" spans="1:2" x14ac:dyDescent="0.35">
      <c r="A71" t="s">
        <v>32</v>
      </c>
      <c r="B71">
        <f>GETPIVOTDATA("Revenue",DatesDeepCols!A1,"DateKey","(blank)")</f>
        <v>90</v>
      </c>
    </row>
    <row r="72" spans="1:2" x14ac:dyDescent="0.35">
      <c r="A72" t="s">
        <v>32</v>
      </c>
      <c r="B72" t="e">
        <f>GETPIVOTDATA("Revenue",DatesDeepCols!A1,"Group","South")</f>
        <v>#REF!</v>
      </c>
    </row>
    <row r="73" spans="1:2" x14ac:dyDescent="0.35">
      <c r="A73" t="s">
        <v>32</v>
      </c>
      <c r="B73">
        <f>GETPIVOTDATA("Revenue",DatesDeepCols!A1,"Group","South","DateKey",43830)</f>
        <v>430</v>
      </c>
    </row>
    <row r="74" spans="1:2" x14ac:dyDescent="0.35">
      <c r="A74" t="s">
        <v>34</v>
      </c>
      <c r="B74">
        <f>GETPIVOTDATA("Revenue",MixedRow!A1)</f>
        <v>910</v>
      </c>
    </row>
    <row r="75" spans="1:2" x14ac:dyDescent="0.35">
      <c r="A75" t="s">
        <v>34</v>
      </c>
      <c r="B75">
        <f>GETPIVOTDATA("Revenue",MixedRow!A1,"MixedKey",0)</f>
        <v>10</v>
      </c>
    </row>
    <row r="76" spans="1:2" x14ac:dyDescent="0.35">
      <c r="A76" t="s">
        <v>34</v>
      </c>
      <c r="B76">
        <f>GETPIVOTDATA("Revenue",MixedRow!A1,"MixedKey",1)</f>
        <v>20</v>
      </c>
    </row>
    <row r="77" spans="1:2" x14ac:dyDescent="0.35">
      <c r="A77" t="s">
        <v>34</v>
      </c>
      <c r="B77">
        <f>GETPIVOTDATA("Revenue",MixedRow!A1,"MixedKey",59)</f>
        <v>30</v>
      </c>
    </row>
    <row r="78" spans="1:2" x14ac:dyDescent="0.35">
      <c r="A78" t="s">
        <v>34</v>
      </c>
      <c r="B78">
        <f>GETPIVOTDATA("Revenue",MixedRow!A1,"MixedKey",60)</f>
        <v>40</v>
      </c>
    </row>
    <row r="79" spans="1:2" x14ac:dyDescent="0.35">
      <c r="A79" t="s">
        <v>34</v>
      </c>
      <c r="B79">
        <f>GETPIVOTDATA("Revenue",MixedRow!A1,"MixedKey",60.5)</f>
        <v>50</v>
      </c>
    </row>
    <row r="80" spans="1:2" x14ac:dyDescent="0.35">
      <c r="A80" t="s">
        <v>34</v>
      </c>
      <c r="B80">
        <f>GETPIVOTDATA("Revenue",MixedRow!A1,"MixedKey",43830)</f>
        <v>60</v>
      </c>
    </row>
    <row r="81" spans="1:2" x14ac:dyDescent="0.35">
      <c r="A81" t="s">
        <v>34</v>
      </c>
      <c r="B81">
        <f>GETPIVOTDATA("Revenue",MixedRow!A1,"MixedKey",43830.5)</f>
        <v>70</v>
      </c>
    </row>
    <row r="82" spans="1:2" x14ac:dyDescent="0.35">
      <c r="A82" t="s">
        <v>34</v>
      </c>
      <c r="B82">
        <f>GETPIVOTDATA("Revenue",MixedRow!A1,"MixedKey","(blank)")</f>
        <v>90</v>
      </c>
    </row>
    <row r="83" spans="1:2" x14ac:dyDescent="0.35">
      <c r="A83" t="s">
        <v>34</v>
      </c>
      <c r="B83">
        <f>GETPIVOTDATA("Revenue",MixedRow!A1,"MixedKey",42)</f>
        <v>60</v>
      </c>
    </row>
    <row r="84" spans="1:2" x14ac:dyDescent="0.35">
      <c r="A84" t="s">
        <v>34</v>
      </c>
      <c r="B84">
        <f>GETPIVOTDATA("Revenue",MixedRow!A1,"MixedKey","text")</f>
        <v>70</v>
      </c>
    </row>
    <row r="85" spans="1:2" x14ac:dyDescent="0.35">
      <c r="A85" t="s">
        <v>34</v>
      </c>
      <c r="B85">
        <f>GETPIVOTDATA("Revenue",MixedRow!A1,"MixedKey",TRUE)</f>
        <v>80</v>
      </c>
    </row>
    <row r="86" spans="1:2" x14ac:dyDescent="0.35">
      <c r="A86" t="s">
        <v>34</v>
      </c>
      <c r="B86">
        <f>GETPIVOTDATA("Revenue",MixedRow!A1,"MixedKey","#DIV/0!")</f>
        <v>110</v>
      </c>
    </row>
    <row r="87" spans="1:2" x14ac:dyDescent="0.35">
      <c r="A87" t="s">
        <v>35</v>
      </c>
      <c r="B87">
        <f>GETPIVOTDATA("Revenue",MixedCol!A1)</f>
        <v>910</v>
      </c>
    </row>
    <row r="88" spans="1:2" x14ac:dyDescent="0.35">
      <c r="A88" t="s">
        <v>35</v>
      </c>
      <c r="B88">
        <f>GETPIVOTDATA("Revenue",MixedCol!A1,"MixedKey",0)</f>
        <v>10</v>
      </c>
    </row>
    <row r="89" spans="1:2" x14ac:dyDescent="0.35">
      <c r="A89" t="s">
        <v>35</v>
      </c>
      <c r="B89">
        <f>GETPIVOTDATA("Revenue",MixedCol!A1,"MixedKey",1)</f>
        <v>20</v>
      </c>
    </row>
    <row r="90" spans="1:2" x14ac:dyDescent="0.35">
      <c r="A90" t="s">
        <v>35</v>
      </c>
      <c r="B90">
        <f>GETPIVOTDATA("Revenue",MixedCol!A1,"MixedKey",59)</f>
        <v>30</v>
      </c>
    </row>
    <row r="91" spans="1:2" x14ac:dyDescent="0.35">
      <c r="A91" t="s">
        <v>35</v>
      </c>
      <c r="B91">
        <f>GETPIVOTDATA("Revenue",MixedCol!A1,"MixedKey",60)</f>
        <v>40</v>
      </c>
    </row>
    <row r="92" spans="1:2" x14ac:dyDescent="0.35">
      <c r="A92" t="s">
        <v>35</v>
      </c>
      <c r="B92">
        <f>GETPIVOTDATA("Revenue",MixedCol!A1,"MixedKey",60.5)</f>
        <v>50</v>
      </c>
    </row>
    <row r="93" spans="1:2" x14ac:dyDescent="0.35">
      <c r="A93" t="s">
        <v>35</v>
      </c>
      <c r="B93">
        <f>GETPIVOTDATA("Revenue",MixedCol!A1,"MixedKey",43830)</f>
        <v>60</v>
      </c>
    </row>
    <row r="94" spans="1:2" x14ac:dyDescent="0.35">
      <c r="A94" t="s">
        <v>35</v>
      </c>
      <c r="B94">
        <f>GETPIVOTDATA("Revenue",MixedCol!A1,"MixedKey",43830.5)</f>
        <v>70</v>
      </c>
    </row>
    <row r="95" spans="1:2" x14ac:dyDescent="0.35">
      <c r="A95" t="s">
        <v>35</v>
      </c>
      <c r="B95">
        <f>GETPIVOTDATA("Revenue",MixedCol!A1,"MixedKey","(blank)")</f>
        <v>90</v>
      </c>
    </row>
    <row r="96" spans="1:2" x14ac:dyDescent="0.35">
      <c r="A96" t="s">
        <v>35</v>
      </c>
      <c r="B96">
        <f>GETPIVOTDATA("Revenue",MixedCol!A1,"MixedKey",42)</f>
        <v>60</v>
      </c>
    </row>
    <row r="97" spans="1:2" x14ac:dyDescent="0.35">
      <c r="A97" t="s">
        <v>35</v>
      </c>
      <c r="B97">
        <f>GETPIVOTDATA("Revenue",MixedCol!A1,"MixedKey","text")</f>
        <v>70</v>
      </c>
    </row>
    <row r="98" spans="1:2" x14ac:dyDescent="0.35">
      <c r="A98" t="s">
        <v>35</v>
      </c>
      <c r="B98">
        <f>GETPIVOTDATA("Revenue",MixedCol!A1,"MixedKey",TRUE)</f>
        <v>80</v>
      </c>
    </row>
    <row r="99" spans="1:2" x14ac:dyDescent="0.35">
      <c r="A99" t="s">
        <v>35</v>
      </c>
      <c r="B99">
        <f>GETPIVOTDATA("Revenue",MixedCol!A1,"MixedKey","#DIV/0!")</f>
        <v>110</v>
      </c>
    </row>
    <row r="100" spans="1:2" x14ac:dyDescent="0.35">
      <c r="A100" t="s">
        <v>36</v>
      </c>
      <c r="B100">
        <f>GETPIVOTDATA("Revenue",MixedNested!A1)</f>
        <v>910</v>
      </c>
    </row>
    <row r="101" spans="1:2" x14ac:dyDescent="0.35">
      <c r="A101" t="s">
        <v>36</v>
      </c>
      <c r="B101">
        <f>GETPIVOTDATA("Revenue",MixedNested!A1,"MixedKey",0)</f>
        <v>10</v>
      </c>
    </row>
    <row r="102" spans="1:2" x14ac:dyDescent="0.35">
      <c r="A102" t="s">
        <v>36</v>
      </c>
      <c r="B102">
        <f>GETPIVOTDATA("Revenue",MixedNested!A1,"MixedKey",1)</f>
        <v>20</v>
      </c>
    </row>
    <row r="103" spans="1:2" x14ac:dyDescent="0.35">
      <c r="A103" t="s">
        <v>36</v>
      </c>
      <c r="B103">
        <f>GETPIVOTDATA("Revenue",MixedNested!A1,"MixedKey",59)</f>
        <v>30</v>
      </c>
    </row>
    <row r="104" spans="1:2" x14ac:dyDescent="0.35">
      <c r="A104" t="s">
        <v>36</v>
      </c>
      <c r="B104">
        <f>GETPIVOTDATA("Revenue",MixedNested!A1,"MixedKey",60)</f>
        <v>40</v>
      </c>
    </row>
    <row r="105" spans="1:2" x14ac:dyDescent="0.35">
      <c r="A105" t="s">
        <v>36</v>
      </c>
      <c r="B105">
        <f>GETPIVOTDATA("Revenue",MixedNested!A1,"MixedKey",60.5)</f>
        <v>50</v>
      </c>
    </row>
    <row r="106" spans="1:2" x14ac:dyDescent="0.35">
      <c r="A106" t="s">
        <v>36</v>
      </c>
      <c r="B106">
        <f>GETPIVOTDATA("Revenue",MixedNested!A1,"MixedKey",43830)</f>
        <v>60</v>
      </c>
    </row>
    <row r="107" spans="1:2" x14ac:dyDescent="0.35">
      <c r="A107" t="s">
        <v>36</v>
      </c>
      <c r="B107">
        <f>GETPIVOTDATA("Revenue",MixedNested!A1,"MixedKey",43830.5)</f>
        <v>70</v>
      </c>
    </row>
    <row r="108" spans="1:2" x14ac:dyDescent="0.35">
      <c r="A108" t="s">
        <v>36</v>
      </c>
      <c r="B108">
        <f>GETPIVOTDATA("Revenue",MixedNested!A1,"MixedKey","(blank)")</f>
        <v>90</v>
      </c>
    </row>
    <row r="109" spans="1:2" x14ac:dyDescent="0.35">
      <c r="A109" t="s">
        <v>36</v>
      </c>
      <c r="B109">
        <f>GETPIVOTDATA("Revenue",MixedNested!A1,"MixedKey",42)</f>
        <v>60</v>
      </c>
    </row>
    <row r="110" spans="1:2" x14ac:dyDescent="0.35">
      <c r="A110" t="s">
        <v>36</v>
      </c>
      <c r="B110">
        <f>GETPIVOTDATA("Revenue",MixedNested!A1,"MixedKey","text")</f>
        <v>70</v>
      </c>
    </row>
    <row r="111" spans="1:2" x14ac:dyDescent="0.35">
      <c r="A111" t="s">
        <v>36</v>
      </c>
      <c r="B111">
        <f>GETPIVOTDATA("Revenue",MixedNested!A1,"MixedKey",TRUE)</f>
        <v>80</v>
      </c>
    </row>
    <row r="112" spans="1:2" x14ac:dyDescent="0.35">
      <c r="A112" t="s">
        <v>36</v>
      </c>
      <c r="B112">
        <f>GETPIVOTDATA("Revenue",MixedNested!A1,"MixedKey","#DIV/0!")</f>
        <v>110</v>
      </c>
    </row>
    <row r="113" spans="1:2" x14ac:dyDescent="0.35">
      <c r="A113" t="s">
        <v>36</v>
      </c>
      <c r="B113">
        <f>GETPIVOTDATA("Revenue",MixedNested!A1,"Group","South")</f>
        <v>520</v>
      </c>
    </row>
    <row r="114" spans="1:2" x14ac:dyDescent="0.35">
      <c r="A114" t="s">
        <v>36</v>
      </c>
      <c r="B114" t="e">
        <f>GETPIVOTDATA("Revenue",MixedNested!A1,"Group","South","MixedKey",43830)</f>
        <v>#REF!</v>
      </c>
    </row>
    <row r="115" spans="1:2" x14ac:dyDescent="0.35">
      <c r="A115" t="s">
        <v>36</v>
      </c>
      <c r="B115" t="e">
        <f>GETPIVOTDATA("Revenue",MixedNested!A1,"Group","South","MixedKey","#DIV/0!")</f>
        <v>#REF!</v>
      </c>
    </row>
    <row r="116" spans="1:2" x14ac:dyDescent="0.35">
      <c r="A116" t="s">
        <v>36</v>
      </c>
      <c r="B116">
        <f>GETPIVOTDATA("Revenue",MixedNested!A1,"Group","West","MixedKey","#DIV/0!")</f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DFE2-A130-4084-BAE2-4F5C3FCEBD00}">
  <dimension ref="A1:E15"/>
  <sheetViews>
    <sheetView workbookViewId="0"/>
  </sheetViews>
  <sheetFormatPr defaultRowHeight="14.5" x14ac:dyDescent="0.35"/>
  <cols>
    <col min="2" max="3" width="17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0</v>
      </c>
      <c r="C2" s="1">
        <v>0</v>
      </c>
      <c r="D2">
        <v>10</v>
      </c>
      <c r="E2" t="s">
        <v>6</v>
      </c>
    </row>
    <row r="3" spans="1:5" x14ac:dyDescent="0.35">
      <c r="A3" t="s">
        <v>5</v>
      </c>
      <c r="B3" s="1">
        <v>1</v>
      </c>
      <c r="C3" s="1">
        <v>1</v>
      </c>
      <c r="D3">
        <v>20</v>
      </c>
      <c r="E3" t="s">
        <v>7</v>
      </c>
    </row>
    <row r="4" spans="1:5" x14ac:dyDescent="0.35">
      <c r="A4" t="s">
        <v>5</v>
      </c>
      <c r="B4" s="1">
        <v>59</v>
      </c>
      <c r="C4" s="1">
        <v>59</v>
      </c>
      <c r="D4">
        <v>30</v>
      </c>
      <c r="E4" t="s">
        <v>6</v>
      </c>
    </row>
    <row r="5" spans="1:5" x14ac:dyDescent="0.35">
      <c r="A5" t="s">
        <v>5</v>
      </c>
      <c r="B5" s="1">
        <v>60</v>
      </c>
      <c r="C5" s="1">
        <v>60</v>
      </c>
      <c r="D5">
        <v>40</v>
      </c>
      <c r="E5" t="s">
        <v>7</v>
      </c>
    </row>
    <row r="6" spans="1:5" x14ac:dyDescent="0.35">
      <c r="A6" t="s">
        <v>5</v>
      </c>
      <c r="B6" s="1">
        <v>60.5</v>
      </c>
      <c r="C6" s="1">
        <v>60.5</v>
      </c>
      <c r="D6">
        <v>50</v>
      </c>
      <c r="E6" t="s">
        <v>6</v>
      </c>
    </row>
    <row r="7" spans="1:5" x14ac:dyDescent="0.35">
      <c r="A7" t="s">
        <v>5</v>
      </c>
      <c r="B7" s="1">
        <v>43830</v>
      </c>
      <c r="C7" s="1">
        <v>43830</v>
      </c>
      <c r="D7">
        <v>60</v>
      </c>
      <c r="E7" t="s">
        <v>7</v>
      </c>
    </row>
    <row r="8" spans="1:5" x14ac:dyDescent="0.35">
      <c r="A8" t="s">
        <v>5</v>
      </c>
      <c r="B8" s="1">
        <v>43830.5</v>
      </c>
      <c r="C8" s="1">
        <v>43830.5</v>
      </c>
      <c r="D8">
        <v>70</v>
      </c>
      <c r="E8" t="s">
        <v>6</v>
      </c>
    </row>
    <row r="9" spans="1:5" x14ac:dyDescent="0.35">
      <c r="A9" t="s">
        <v>8</v>
      </c>
      <c r="B9" s="1">
        <v>43830</v>
      </c>
      <c r="C9">
        <v>42</v>
      </c>
      <c r="D9">
        <v>60</v>
      </c>
      <c r="E9" t="s">
        <v>7</v>
      </c>
    </row>
    <row r="10" spans="1:5" x14ac:dyDescent="0.35">
      <c r="A10" t="s">
        <v>8</v>
      </c>
      <c r="B10" s="1">
        <v>43830</v>
      </c>
      <c r="C10">
        <v>43830</v>
      </c>
      <c r="D10">
        <v>120</v>
      </c>
      <c r="E10" t="s">
        <v>6</v>
      </c>
    </row>
    <row r="11" spans="1:5" x14ac:dyDescent="0.35">
      <c r="A11" t="s">
        <v>8</v>
      </c>
      <c r="B11" s="1">
        <v>43830</v>
      </c>
      <c r="C11" t="s">
        <v>9</v>
      </c>
      <c r="D11">
        <v>70</v>
      </c>
      <c r="E11" t="s">
        <v>7</v>
      </c>
    </row>
    <row r="12" spans="1:5" x14ac:dyDescent="0.35">
      <c r="A12" t="s">
        <v>8</v>
      </c>
      <c r="B12" s="1">
        <v>43830</v>
      </c>
      <c r="C12" t="b">
        <v>1</v>
      </c>
      <c r="D12">
        <v>80</v>
      </c>
      <c r="E12" t="s">
        <v>6</v>
      </c>
    </row>
    <row r="13" spans="1:5" x14ac:dyDescent="0.35">
      <c r="A13" t="s">
        <v>8</v>
      </c>
      <c r="B13" s="1"/>
      <c r="D13">
        <v>90</v>
      </c>
      <c r="E13" t="s">
        <v>7</v>
      </c>
    </row>
    <row r="14" spans="1:5" x14ac:dyDescent="0.35">
      <c r="A14" t="s">
        <v>8</v>
      </c>
      <c r="B14" s="1">
        <v>43830</v>
      </c>
      <c r="C14" t="e">
        <f>1/0</f>
        <v>#DIV/0!</v>
      </c>
      <c r="D14">
        <v>100</v>
      </c>
      <c r="E14" t="s">
        <v>6</v>
      </c>
    </row>
    <row r="15" spans="1:5" x14ac:dyDescent="0.35">
      <c r="A15" t="s">
        <v>10</v>
      </c>
      <c r="B15" s="1">
        <v>43830</v>
      </c>
      <c r="C15" s="2" t="s">
        <v>11</v>
      </c>
      <c r="D15">
        <v>110</v>
      </c>
      <c r="E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MixedNested</vt:lpstr>
      <vt:lpstr>MixedCol</vt:lpstr>
      <vt:lpstr>MixedRow</vt:lpstr>
      <vt:lpstr>DatesDeepCols</vt:lpstr>
      <vt:lpstr>DatesDeepRows</vt:lpstr>
      <vt:lpstr>DatesOuterCols</vt:lpstr>
      <vt:lpstr>DatesOuterRows</vt:lpstr>
      <vt:lpstr>DatesNested</vt:lpstr>
      <vt:lpstr>DatesCol</vt:lpstr>
      <vt:lpstr>DatesRow</vt:lpstr>
      <vt:lpstr>Lookups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2026-09-27T16:45:28Z</dcterms:created>
  <dcterms:modified xsi:type="dcterms:W3CDTF">2026-09-27T16:45:31Z</dcterms:modified>
</cp:coreProperties>
</file>