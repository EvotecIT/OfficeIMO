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B900E60-C2DA-44CA-A97A-316DCCD5B651}" xr6:coauthVersionLast="47" xr6:coauthVersionMax="47" xr10:uidLastSave="{00000000-0000-0000-0000-000000000000}"/>
  <bookViews>
    <workbookView xWindow="-110" yWindow="-110" windowWidth="38620" windowHeight="21100" xr2:uid="{F9684FE2-3A41-45A8-9CB8-0B84001CE519}"/>
  </bookViews>
  <sheets>
    <sheet name="CollapsedManyRow" sheetId="24" r:id="rId1"/>
    <sheet name="CompactOuterRow" sheetId="23" r:id="rId2"/>
    <sheet name="CollapsedRow" sheetId="22" r:id="rId3"/>
    <sheet name="TopSubtotalRow3" sheetId="21" r:id="rId4"/>
    <sheet name="OutlineManyCol" sheetId="20" r:id="rId5"/>
    <sheet name="CompactManyRow" sheetId="19" r:id="rId6"/>
    <sheet name="NoSubtotal3" sheetId="18" r:id="rId7"/>
    <sheet name="NoGrand" sheetId="17" r:id="rId8"/>
    <sheet name="CustomTwo" sheetId="16" r:id="rId9"/>
    <sheet name="CustomSum" sheetId="15" r:id="rId10"/>
    <sheet name="NoSubtotals" sheetId="14" r:id="rId11"/>
    <sheet name="OuterRow" sheetId="13" r:id="rId12"/>
    <sheet name="OuterCol" sheetId="12" r:id="rId13"/>
    <sheet name="MiddleRow" sheetId="11" r:id="rId14"/>
    <sheet name="MiddleCol" sheetId="10" r:id="rId15"/>
    <sheet name="ManyRow" sheetId="9" r:id="rId16"/>
    <sheet name="ManyCol" sheetId="8" r:id="rId17"/>
    <sheet name="Col3" sheetId="7" r:id="rId18"/>
    <sheet name="Row3" sheetId="6" r:id="rId19"/>
    <sheet name="Both2" sheetId="5" r:id="rId20"/>
    <sheet name="Col2" sheetId="4" r:id="rId21"/>
    <sheet name="Row2" sheetId="3" r:id="rId22"/>
    <sheet name="Lookups" sheetId="2" r:id="rId23"/>
    <sheet name="Source" sheetId="1" r:id="rId24"/>
  </sheets>
  <calcPr calcId="191029"/>
  <pivotCaches>
    <pivotCache cacheId="9" r:id="rId25"/>
    <pivotCache cacheId="19" r:id="rId26"/>
    <pivotCache cacheId="33" r:id="rId27"/>
    <pivotCache cacheId="45" r:id="rId28"/>
    <pivotCache cacheId="57" r:id="rId29"/>
    <pivotCache cacheId="71" r:id="rId30"/>
    <pivotCache cacheId="85" r:id="rId31"/>
    <pivotCache cacheId="99" r:id="rId32"/>
    <pivotCache cacheId="113" r:id="rId33"/>
    <pivotCache cacheId="127" r:id="rId34"/>
    <pivotCache cacheId="141" r:id="rId35"/>
    <pivotCache cacheId="155" r:id="rId36"/>
    <pivotCache cacheId="169" r:id="rId37"/>
    <pivotCache cacheId="183" r:id="rId38"/>
    <pivotCache cacheId="197" r:id="rId39"/>
    <pivotCache cacheId="211" r:id="rId40"/>
    <pivotCache cacheId="225" r:id="rId41"/>
    <pivotCache cacheId="239" r:id="rId42"/>
    <pivotCache cacheId="251" r:id="rId43"/>
    <pivotCache cacheId="265" r:id="rId44"/>
    <pivotCache cacheId="279" r:id="rId45"/>
    <pivotCache cacheId="293" r:id="rId4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24" i="2" l="1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<sst xmlns="http://schemas.openxmlformats.org/spreadsheetml/2006/main" count="1909" uniqueCount="101">
  <si>
    <t>Region</t>
  </si>
  <si>
    <t>City</t>
  </si>
  <si>
    <t>Product</t>
  </si>
  <si>
    <t>Channel</t>
  </si>
  <si>
    <t>Amount</t>
  </si>
  <si>
    <t>Units</t>
  </si>
  <si>
    <t>North</t>
  </si>
  <si>
    <t>East</t>
  </si>
  <si>
    <t>A</t>
  </si>
  <si>
    <t>Retail</t>
  </si>
  <si>
    <t>South</t>
  </si>
  <si>
    <t>B</t>
  </si>
  <si>
    <t>Web</t>
  </si>
  <si>
    <t>West</t>
  </si>
  <si>
    <t>Unique</t>
  </si>
  <si>
    <t>C</t>
  </si>
  <si>
    <t>Direct</t>
  </si>
  <si>
    <t>pending</t>
  </si>
  <si>
    <t>Row Labels</t>
  </si>
  <si>
    <t>Grand Total</t>
  </si>
  <si>
    <t>Revenue</t>
  </si>
  <si>
    <t>North Total</t>
  </si>
  <si>
    <t>South Total</t>
  </si>
  <si>
    <t>West Total</t>
  </si>
  <si>
    <t>Row2</t>
  </si>
  <si>
    <t>Column Labels</t>
  </si>
  <si>
    <t>A Total</t>
  </si>
  <si>
    <t>B Total</t>
  </si>
  <si>
    <t>C Total</t>
  </si>
  <si>
    <t>Col2</t>
  </si>
  <si>
    <t>Both2</t>
  </si>
  <si>
    <t>East Total</t>
  </si>
  <si>
    <t>Unique Total</t>
  </si>
  <si>
    <t>Row3</t>
  </si>
  <si>
    <t>Retail Total</t>
  </si>
  <si>
    <t>Web Total</t>
  </si>
  <si>
    <t>Direct Total</t>
  </si>
  <si>
    <t>Col3</t>
  </si>
  <si>
    <t>A Revenue</t>
  </si>
  <si>
    <t>A AvgUnits</t>
  </si>
  <si>
    <t>B Revenue</t>
  </si>
  <si>
    <t>B AvgUnits</t>
  </si>
  <si>
    <t>C Revenue</t>
  </si>
  <si>
    <t>C AvgUnits</t>
  </si>
  <si>
    <t>Total Revenue</t>
  </si>
  <si>
    <t>Total AvgUnits</t>
  </si>
  <si>
    <t>AvgUnits</t>
  </si>
  <si>
    <t>A Entries</t>
  </si>
  <si>
    <t>B Entries</t>
  </si>
  <si>
    <t>C Entries</t>
  </si>
  <si>
    <t>Total Entries</t>
  </si>
  <si>
    <t>Entries</t>
  </si>
  <si>
    <t>Values</t>
  </si>
  <si>
    <t>ManyCol</t>
  </si>
  <si>
    <t>North Revenue</t>
  </si>
  <si>
    <t>North AvgUnits</t>
  </si>
  <si>
    <t>North Entries</t>
  </si>
  <si>
    <t>South Revenue</t>
  </si>
  <si>
    <t>South AvgUnits</t>
  </si>
  <si>
    <t>South Entries</t>
  </si>
  <si>
    <t>West Revenue</t>
  </si>
  <si>
    <t>West AvgUnits</t>
  </si>
  <si>
    <t>West Entries</t>
  </si>
  <si>
    <t>ManyRow</t>
  </si>
  <si>
    <t>MiddleCol</t>
  </si>
  <si>
    <t>MiddleRow</t>
  </si>
  <si>
    <t>OuterCol</t>
  </si>
  <si>
    <t>OuterRow</t>
  </si>
  <si>
    <t>NoSubtotals</t>
  </si>
  <si>
    <t>East Sum</t>
  </si>
  <si>
    <t>Unique Sum</t>
  </si>
  <si>
    <t>West Sum</t>
  </si>
  <si>
    <t>A Sum</t>
  </si>
  <si>
    <t>B Sum</t>
  </si>
  <si>
    <t>C Sum</t>
  </si>
  <si>
    <t>Direct Sum</t>
  </si>
  <si>
    <t>Retail Sum</t>
  </si>
  <si>
    <t>Web Sum</t>
  </si>
  <si>
    <t>North Sum</t>
  </si>
  <si>
    <t>South Sum</t>
  </si>
  <si>
    <t>CustomSum</t>
  </si>
  <si>
    <t>North Average</t>
  </si>
  <si>
    <t>South Average</t>
  </si>
  <si>
    <t>West Average</t>
  </si>
  <si>
    <t>East Average</t>
  </si>
  <si>
    <t>Unique Average</t>
  </si>
  <si>
    <t>A Average</t>
  </si>
  <si>
    <t>B Average</t>
  </si>
  <si>
    <t>C Average</t>
  </si>
  <si>
    <t>Direct Average</t>
  </si>
  <si>
    <t>Retail Average</t>
  </si>
  <si>
    <t>Web Average</t>
  </si>
  <si>
    <t>CustomTwo</t>
  </si>
  <si>
    <t>NoGrand</t>
  </si>
  <si>
    <t>NoSubtotal3</t>
  </si>
  <si>
    <t>CompactManyRow</t>
  </si>
  <si>
    <t>OutlineManyCol</t>
  </si>
  <si>
    <t>TopSubtotalRow3</t>
  </si>
  <si>
    <t>CollapsedRow</t>
  </si>
  <si>
    <t>CompactOuterRow</t>
  </si>
  <si>
    <t>CollapsedManyRow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</si>
</sst>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openxmlformats.org/officeDocument/2006/relationships/pivotCacheDefinition" Target="pivotCache/pivotCacheDefinition15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0.xml"/><Relationship Id="rId42" Type="http://schemas.openxmlformats.org/officeDocument/2006/relationships/pivotCacheDefinition" Target="pivotCache/pivotCacheDefinition18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8.xml"/><Relationship Id="rId37" Type="http://schemas.openxmlformats.org/officeDocument/2006/relationships/pivotCacheDefinition" Target="pivotCache/pivotCacheDefinition13.xml"/><Relationship Id="rId40" Type="http://schemas.openxmlformats.org/officeDocument/2006/relationships/pivotCacheDefinition" Target="pivotCache/pivotCacheDefinition16.xml"/><Relationship Id="rId45" Type="http://schemas.openxmlformats.org/officeDocument/2006/relationships/pivotCacheDefinition" Target="pivotCache/pivotCacheDefinition2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12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7.xml"/><Relationship Id="rId44" Type="http://schemas.openxmlformats.org/officeDocument/2006/relationships/pivotCacheDefinition" Target="pivotCache/pivotCacheDefinition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pivotCacheDefinition" Target="pivotCache/pivotCacheDefinition11.xml"/><Relationship Id="rId43" Type="http://schemas.openxmlformats.org/officeDocument/2006/relationships/pivotCacheDefinition" Target="pivotCache/pivotCacheDefinition19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openxmlformats.org/officeDocument/2006/relationships/pivotCacheDefinition" Target="pivotCache/pivotCacheDefinition14.xml"/><Relationship Id="rId46" Type="http://schemas.openxmlformats.org/officeDocument/2006/relationships/pivotCacheDefinition" Target="pivotCache/pivotCacheDefinition22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15856485" createdVersion="6" refreshedVersion="8" minRefreshableVersion="3" recordCount="12" xr:uid="{31119D37-1C2C-4DD1-9986-35F47C0EC9B3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/>
    </cacheField>
    <cacheField name="Channel" numFmtId="0">
      <sharedItems/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24652775" createdVersion="6" refreshedVersion="8" minRefreshableVersion="3" recordCount="12" xr:uid="{C44E46F3-839C-412D-AC1C-A4EA1A680982}">
  <cacheSource type="worksheet">
    <worksheetSource ref="A1:F13" sheet="Source"/>
  </cacheSource>
  <cacheFields count="6">
    <cacheField name="Region" numFmtId="0">
      <sharedItems/>
    </cacheField>
    <cacheField name="City" numFmtId="0">
      <sharedItems/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32291665" createdVersion="6" refreshedVersion="8" minRefreshableVersion="3" recordCount="12" xr:uid="{ADFBDDE7-51EE-4C27-89CB-CF978C6AD4C3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35648152" createdVersion="6" refreshedVersion="8" minRefreshableVersion="3" recordCount="12" xr:uid="{0289032D-FB57-4E95-B840-39135E1C666D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/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38194446" createdVersion="6" refreshedVersion="8" minRefreshableVersion="3" recordCount="12" xr:uid="{285C161D-8451-4818-99D9-58D6BFB9E7F0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/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41319448" createdVersion="6" refreshedVersion="8" minRefreshableVersion="3" recordCount="12" xr:uid="{D5904DBA-EF25-4D71-9911-15B0FA17E39D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48148145" createdVersion="6" refreshedVersion="8" minRefreshableVersion="3" recordCount="12" xr:uid="{B0B2648F-C4CA-4F0A-9DFB-400B6C8F2327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55324073" createdVersion="6" refreshedVersion="8" minRefreshableVersion="3" recordCount="12" xr:uid="{550BFC59-EC5E-45B6-A00D-9A46EE1C3F12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68287035" createdVersion="6" refreshedVersion="8" minRefreshableVersion="3" recordCount="12" xr:uid="{1FE9DBE8-5187-418F-B64E-C51CCF37018E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82407406" createdVersion="6" refreshedVersion="8" minRefreshableVersion="3" recordCount="12" xr:uid="{5916C96E-46D1-4CD7-B4F4-B18D00B8C97B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889699073" createdVersion="6" refreshedVersion="8" minRefreshableVersion="3" recordCount="12" xr:uid="{76833A2B-365F-4B39-B549-11FF11A28EAC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00347226" createdVersion="6" refreshedVersion="8" minRefreshableVersion="3" recordCount="12" xr:uid="{9AE35929-1759-486A-B989-E9D9B3E6E5BE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04398151" createdVersion="6" refreshedVersion="8" minRefreshableVersion="3" recordCount="12" xr:uid="{A7C1BB06-84BD-4C9B-85BE-0663E270EFA8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07638892" createdVersion="6" refreshedVersion="8" minRefreshableVersion="3" recordCount="12" xr:uid="{5A204F72-94B2-4F13-AE64-6A1873CDF793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10763887" createdVersion="6" refreshedVersion="8" minRefreshableVersion="3" recordCount="12" xr:uid="{4FAC2E1A-D455-4595-90D6-C7BF8698C008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14120373" createdVersion="6" refreshedVersion="8" minRefreshableVersion="3" recordCount="12" xr:uid="{97F7B989-6A65-4D7D-A1B2-CB359816E738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21759263" createdVersion="6" refreshedVersion="8" minRefreshableVersion="3" recordCount="12" xr:uid="{EAE804A0-814D-4B9A-82C3-3536F6D4C186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28356483" createdVersion="6" refreshedVersion="8" minRefreshableVersion="3" recordCount="12" xr:uid="{9EF25A5A-8698-459E-96BF-373CAA18141A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34837964" createdVersion="6" refreshedVersion="8" minRefreshableVersion="3" recordCount="12" xr:uid="{A8DB6213-DE3B-4D16-8390-4945EF7FF1A1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/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37499997" createdVersion="6" refreshedVersion="8" minRefreshableVersion="3" recordCount="12" xr:uid="{36EB189C-3287-4A07-BF43-2E47E1ABA98F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39930552" createdVersion="6" refreshedVersion="8" minRefreshableVersion="3" recordCount="12" xr:uid="{FDACE11C-9988-4DE6-B4FF-EB8BC2352F90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2.730945949072" createdVersion="6" refreshedVersion="8" minRefreshableVersion="3" recordCount="12" xr:uid="{BB660994-944E-4B88-940D-386CA15CC7C4}">
  <cacheSource type="worksheet">
    <worksheetSource ref="A1:F13" sheet="Source"/>
  </cacheSource>
  <cacheFields count="6">
    <cacheField name="Region" numFmtId="0">
      <sharedItems count="3">
        <s v="North"/>
        <s v="South"/>
        <s v="West"/>
      </sharedItems>
    </cacheField>
    <cacheField name="City" numFmtId="0">
      <sharedItems count="3">
        <s v="East"/>
        <s v="West"/>
        <s v="Unique"/>
      </sharedItems>
    </cacheField>
    <cacheField name="Product" numFmtId="0">
      <sharedItems count="3">
        <s v="A"/>
        <s v="B"/>
        <s v="C"/>
      </sharedItems>
    </cacheField>
    <cacheField name="Channel" numFmtId="0">
      <sharedItems count="3">
        <s v="Retail"/>
        <s v="Web"/>
        <s v="Direct"/>
      </sharedItems>
    </cacheField>
    <cacheField name="Amount" numFmtId="0">
      <sharedItems containsBlank="1" containsMixedTypes="1" containsNumber="1" containsInteger="1" minValue="-2" maxValue="20"/>
    </cacheField>
    <cacheField name="Units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A"/>
    <s v="Retail"/>
    <n v="10"/>
    <n v="2"/>
  </r>
  <r>
    <x v="1"/>
    <x v="0"/>
    <s v="B"/>
    <s v="Web"/>
    <n v="20"/>
    <n v="3"/>
  </r>
  <r>
    <x v="0"/>
    <x v="1"/>
    <s v="B"/>
    <s v="Retail"/>
    <n v="5"/>
    <n v="1"/>
  </r>
  <r>
    <x v="1"/>
    <x v="1"/>
    <s v="A"/>
    <s v="Web"/>
    <n v="15"/>
    <n v="4"/>
  </r>
  <r>
    <x v="0"/>
    <x v="0"/>
    <s v="B"/>
    <s v="Web"/>
    <n v="-2"/>
    <n v="1"/>
  </r>
  <r>
    <x v="2"/>
    <x v="2"/>
    <s v="C"/>
    <s v="Direct"/>
    <m/>
    <n v="5"/>
  </r>
  <r>
    <x v="1"/>
    <x v="0"/>
    <s v="A"/>
    <s v="Retail"/>
    <s v="pending"/>
    <n v="2"/>
  </r>
  <r>
    <x v="0"/>
    <x v="1"/>
    <s v="A"/>
    <s v="Web"/>
    <b v="1"/>
    <n v="1"/>
  </r>
  <r>
    <x v="1"/>
    <x v="0"/>
    <s v="A"/>
    <s v="Web"/>
    <n v="8"/>
    <n v="2"/>
  </r>
  <r>
    <x v="0"/>
    <x v="0"/>
    <s v="A"/>
    <s v="Retail"/>
    <n v="3"/>
    <n v="6"/>
  </r>
  <r>
    <x v="2"/>
    <x v="0"/>
    <s v="A"/>
    <s v="Retail"/>
    <n v="4"/>
    <n v="2"/>
  </r>
  <r>
    <x v="1"/>
    <x v="1"/>
    <s v="B"/>
    <s v="Retail"/>
    <n v="7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North"/>
    <s v="East"/>
    <x v="0"/>
    <x v="0"/>
    <n v="10"/>
    <n v="2"/>
  </r>
  <r>
    <s v="South"/>
    <s v="East"/>
    <x v="1"/>
    <x v="1"/>
    <n v="20"/>
    <n v="3"/>
  </r>
  <r>
    <s v="North"/>
    <s v="West"/>
    <x v="1"/>
    <x v="0"/>
    <n v="5"/>
    <n v="1"/>
  </r>
  <r>
    <s v="South"/>
    <s v="West"/>
    <x v="0"/>
    <x v="1"/>
    <n v="15"/>
    <n v="4"/>
  </r>
  <r>
    <s v="North"/>
    <s v="East"/>
    <x v="1"/>
    <x v="1"/>
    <n v="-2"/>
    <n v="1"/>
  </r>
  <r>
    <s v="West"/>
    <s v="Unique"/>
    <x v="2"/>
    <x v="2"/>
    <m/>
    <n v="5"/>
  </r>
  <r>
    <s v="South"/>
    <s v="East"/>
    <x v="0"/>
    <x v="0"/>
    <s v="pending"/>
    <n v="2"/>
  </r>
  <r>
    <s v="North"/>
    <s v="West"/>
    <x v="0"/>
    <x v="1"/>
    <b v="1"/>
    <n v="1"/>
  </r>
  <r>
    <s v="South"/>
    <s v="East"/>
    <x v="0"/>
    <x v="1"/>
    <n v="8"/>
    <n v="2"/>
  </r>
  <r>
    <s v="North"/>
    <s v="East"/>
    <x v="0"/>
    <x v="0"/>
    <n v="3"/>
    <n v="6"/>
  </r>
  <r>
    <s v="West"/>
    <s v="East"/>
    <x v="0"/>
    <x v="0"/>
    <n v="4"/>
    <n v="2"/>
  </r>
  <r>
    <s v="South"/>
    <s v="West"/>
    <x v="1"/>
    <x v="0"/>
    <n v="7"/>
    <n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s v="Retail"/>
    <n v="10"/>
    <n v="2"/>
  </r>
  <r>
    <x v="1"/>
    <x v="0"/>
    <x v="1"/>
    <s v="Web"/>
    <n v="20"/>
    <n v="3"/>
  </r>
  <r>
    <x v="0"/>
    <x v="1"/>
    <x v="1"/>
    <s v="Retail"/>
    <n v="5"/>
    <n v="1"/>
  </r>
  <r>
    <x v="1"/>
    <x v="1"/>
    <x v="0"/>
    <s v="Web"/>
    <n v="15"/>
    <n v="4"/>
  </r>
  <r>
    <x v="0"/>
    <x v="0"/>
    <x v="1"/>
    <s v="Web"/>
    <n v="-2"/>
    <n v="1"/>
  </r>
  <r>
    <x v="2"/>
    <x v="2"/>
    <x v="2"/>
    <s v="Direct"/>
    <m/>
    <n v="5"/>
  </r>
  <r>
    <x v="1"/>
    <x v="0"/>
    <x v="0"/>
    <s v="Retail"/>
    <s v="pending"/>
    <n v="2"/>
  </r>
  <r>
    <x v="0"/>
    <x v="1"/>
    <x v="0"/>
    <s v="Web"/>
    <b v="1"/>
    <n v="1"/>
  </r>
  <r>
    <x v="1"/>
    <x v="0"/>
    <x v="0"/>
    <s v="Web"/>
    <n v="8"/>
    <n v="2"/>
  </r>
  <r>
    <x v="0"/>
    <x v="0"/>
    <x v="0"/>
    <s v="Retail"/>
    <n v="3"/>
    <n v="6"/>
  </r>
  <r>
    <x v="2"/>
    <x v="0"/>
    <x v="0"/>
    <s v="Retail"/>
    <n v="4"/>
    <n v="2"/>
  </r>
  <r>
    <x v="1"/>
    <x v="1"/>
    <x v="1"/>
    <s v="Retail"/>
    <n v="7"/>
    <n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East"/>
    <x v="0"/>
    <x v="0"/>
    <n v="10"/>
    <n v="2"/>
  </r>
  <r>
    <x v="1"/>
    <s v="East"/>
    <x v="1"/>
    <x v="1"/>
    <n v="20"/>
    <n v="3"/>
  </r>
  <r>
    <x v="0"/>
    <s v="West"/>
    <x v="1"/>
    <x v="0"/>
    <n v="5"/>
    <n v="1"/>
  </r>
  <r>
    <x v="1"/>
    <s v="West"/>
    <x v="0"/>
    <x v="1"/>
    <n v="15"/>
    <n v="4"/>
  </r>
  <r>
    <x v="0"/>
    <s v="East"/>
    <x v="1"/>
    <x v="1"/>
    <n v="-2"/>
    <n v="1"/>
  </r>
  <r>
    <x v="2"/>
    <s v="Unique"/>
    <x v="2"/>
    <x v="2"/>
    <m/>
    <n v="5"/>
  </r>
  <r>
    <x v="1"/>
    <s v="East"/>
    <x v="0"/>
    <x v="0"/>
    <s v="pending"/>
    <n v="2"/>
  </r>
  <r>
    <x v="0"/>
    <s v="West"/>
    <x v="0"/>
    <x v="1"/>
    <b v="1"/>
    <n v="1"/>
  </r>
  <r>
    <x v="1"/>
    <s v="East"/>
    <x v="0"/>
    <x v="1"/>
    <n v="8"/>
    <n v="2"/>
  </r>
  <r>
    <x v="0"/>
    <s v="East"/>
    <x v="0"/>
    <x v="0"/>
    <n v="3"/>
    <n v="6"/>
  </r>
  <r>
    <x v="2"/>
    <s v="East"/>
    <x v="0"/>
    <x v="0"/>
    <n v="4"/>
    <n v="2"/>
  </r>
  <r>
    <x v="1"/>
    <s v="West"/>
    <x v="1"/>
    <x v="0"/>
    <n v="7"/>
    <n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s v="Retail"/>
    <n v="10"/>
    <n v="2"/>
  </r>
  <r>
    <x v="1"/>
    <x v="0"/>
    <x v="1"/>
    <s v="Web"/>
    <n v="20"/>
    <n v="3"/>
  </r>
  <r>
    <x v="0"/>
    <x v="1"/>
    <x v="1"/>
    <s v="Retail"/>
    <n v="5"/>
    <n v="1"/>
  </r>
  <r>
    <x v="1"/>
    <x v="1"/>
    <x v="0"/>
    <s v="Web"/>
    <n v="15"/>
    <n v="4"/>
  </r>
  <r>
    <x v="0"/>
    <x v="0"/>
    <x v="1"/>
    <s v="Web"/>
    <n v="-2"/>
    <n v="1"/>
  </r>
  <r>
    <x v="2"/>
    <x v="2"/>
    <x v="2"/>
    <s v="Direct"/>
    <m/>
    <n v="5"/>
  </r>
  <r>
    <x v="1"/>
    <x v="0"/>
    <x v="0"/>
    <s v="Retail"/>
    <s v="pending"/>
    <n v="2"/>
  </r>
  <r>
    <x v="0"/>
    <x v="1"/>
    <x v="0"/>
    <s v="Web"/>
    <b v="1"/>
    <n v="1"/>
  </r>
  <r>
    <x v="1"/>
    <x v="0"/>
    <x v="0"/>
    <s v="Web"/>
    <n v="8"/>
    <n v="2"/>
  </r>
  <r>
    <x v="0"/>
    <x v="0"/>
    <x v="0"/>
    <s v="Retail"/>
    <n v="3"/>
    <n v="6"/>
  </r>
  <r>
    <x v="2"/>
    <x v="0"/>
    <x v="0"/>
    <s v="Retail"/>
    <n v="4"/>
    <n v="2"/>
  </r>
  <r>
    <x v="1"/>
    <x v="1"/>
    <x v="1"/>
    <s v="Retail"/>
    <n v="7"/>
    <n v="3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10"/>
    <n v="2"/>
  </r>
  <r>
    <x v="1"/>
    <x v="0"/>
    <x v="1"/>
    <x v="1"/>
    <n v="20"/>
    <n v="3"/>
  </r>
  <r>
    <x v="0"/>
    <x v="1"/>
    <x v="1"/>
    <x v="0"/>
    <n v="5"/>
    <n v="1"/>
  </r>
  <r>
    <x v="1"/>
    <x v="1"/>
    <x v="0"/>
    <x v="1"/>
    <n v="15"/>
    <n v="4"/>
  </r>
  <r>
    <x v="0"/>
    <x v="0"/>
    <x v="1"/>
    <x v="1"/>
    <n v="-2"/>
    <n v="1"/>
  </r>
  <r>
    <x v="2"/>
    <x v="2"/>
    <x v="2"/>
    <x v="2"/>
    <m/>
    <n v="5"/>
  </r>
  <r>
    <x v="1"/>
    <x v="0"/>
    <x v="0"/>
    <x v="0"/>
    <s v="pending"/>
    <n v="2"/>
  </r>
  <r>
    <x v="0"/>
    <x v="1"/>
    <x v="0"/>
    <x v="1"/>
    <b v="1"/>
    <n v="1"/>
  </r>
  <r>
    <x v="1"/>
    <x v="0"/>
    <x v="0"/>
    <x v="1"/>
    <n v="8"/>
    <n v="2"/>
  </r>
  <r>
    <x v="0"/>
    <x v="0"/>
    <x v="0"/>
    <x v="0"/>
    <n v="3"/>
    <n v="6"/>
  </r>
  <r>
    <x v="2"/>
    <x v="0"/>
    <x v="0"/>
    <x v="0"/>
    <n v="4"/>
    <n v="2"/>
  </r>
  <r>
    <x v="1"/>
    <x v="1"/>
    <x v="1"/>
    <x v="0"/>
    <n v="7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01FF7-A6F2-48DD-889D-FE9703B8E84B}" name="PivotCollapsedManyRow" cacheId="29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L27" firstHeaderRow="1" firstDataRow="3" firstDataCol="3"/>
  <pivotFields count="6">
    <pivotField axis="axisRow" compact="0" outline="0" showAll="0">
      <items count="4">
        <item sd="0"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3">
    <field x="0"/>
    <field x="1"/>
    <field x="-2"/>
  </rowFields>
  <rowItems count="24">
    <i>
      <x/>
      <x v="1048832"/>
      <x/>
    </i>
    <i r="2" i="1">
      <x v="1"/>
    </i>
    <i r="2" i="2">
      <x v="2"/>
    </i>
    <i>
      <x v="1"/>
      <x/>
      <x/>
    </i>
    <i r="2" i="1">
      <x v="1"/>
    </i>
    <i r="2" i="2">
      <x v="2"/>
    </i>
    <i r="1">
      <x v="2"/>
      <x/>
    </i>
    <i r="2" i="1">
      <x v="1"/>
    </i>
    <i r="2" i="2">
      <x v="2"/>
    </i>
    <i t="default">
      <x v="1"/>
    </i>
    <i t="default" i="1">
      <x v="1"/>
    </i>
    <i t="default" i="2">
      <x v="1"/>
    </i>
    <i>
      <x v="2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2"/>
    </i>
    <i t="default" i="1">
      <x v="2"/>
    </i>
    <i t="default" i="2">
      <x v="2"/>
    </i>
    <i t="grand">
      <x/>
    </i>
    <i t="grand" i="1">
      <x/>
    </i>
    <i t="grand" i="2">
      <x/>
    </i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A50E6-8A85-4DBB-B5E1-7F004D632BC1}" name="PivotCompactOuterRow" cacheId="279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J36" firstHeaderRow="1" firstDataRow="3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  <pivotField dataField="1" showAll="0"/>
  </pivotFields>
  <rowFields count="3">
    <field x="-2"/>
    <field x="0"/>
    <field x="1"/>
  </rowFields>
  <rowItems count="33">
    <i>
      <x/>
    </i>
    <i r="1">
      <x/>
    </i>
    <i r="2">
      <x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i="1">
      <x v="1"/>
    </i>
    <i r="1" i="1">
      <x/>
    </i>
    <i r="2" i="1">
      <x/>
    </i>
    <i r="2" i="1">
      <x v="2"/>
    </i>
    <i r="1" i="1">
      <x v="1"/>
    </i>
    <i r="2" i="1">
      <x/>
    </i>
    <i r="2" i="1">
      <x v="2"/>
    </i>
    <i r="1" i="1">
      <x v="2"/>
    </i>
    <i r="2" i="1">
      <x/>
    </i>
    <i r="2" i="1">
      <x v="1"/>
    </i>
    <i i="2">
      <x v="2"/>
    </i>
    <i r="1" i="2">
      <x/>
    </i>
    <i r="2" i="2">
      <x/>
    </i>
    <i r="2" i="2">
      <x v="2"/>
    </i>
    <i r="1" i="2">
      <x v="1"/>
    </i>
    <i r="2" i="2">
      <x/>
    </i>
    <i r="2" i="2">
      <x v="2"/>
    </i>
    <i r="1" i="2">
      <x v="2"/>
    </i>
    <i r="2" i="2">
      <x/>
    </i>
    <i r="2" i="2">
      <x v="1"/>
    </i>
    <i t="grand">
      <x/>
    </i>
    <i t="grand" i="1">
      <x/>
    </i>
    <i t="grand" i="2">
      <x/>
    </i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82534-1B7D-46F6-A486-0D73A147FC84}" name="PivotCollapsedRow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K11" firstHeaderRow="1" firstDataRow="3" firstDataCol="2"/>
  <pivotFields count="6">
    <pivotField axis="axisRow" compact="0" outline="0" showAll="0">
      <items count="4">
        <item sd="0"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8">
    <i>
      <x/>
    </i>
    <i>
      <x v="1"/>
      <x/>
    </i>
    <i r="1">
      <x v="2"/>
    </i>
    <i t="default">
      <x v="1"/>
    </i>
    <i>
      <x v="2"/>
      <x/>
    </i>
    <i r="1">
      <x v="1"/>
    </i>
    <i t="default">
      <x v="2"/>
    </i>
    <i t="grand">
      <x/>
    </i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D2991-39B6-4EBC-8A6C-F9D17B36B016}" name="PivotTopSubtotalRow3" cacheId="25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D21" firstHeaderRow="1" firstDataRow="1" firstDataCol="3"/>
  <pivotFields count="6"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3">
    <field x="0"/>
    <field x="1"/>
    <field x="2"/>
  </rowFields>
  <rowItems count="20">
    <i>
      <x/>
    </i>
    <i r="1">
      <x/>
    </i>
    <i r="2">
      <x/>
    </i>
    <i r="2">
      <x v="1"/>
    </i>
    <i r="1">
      <x v="2"/>
    </i>
    <i r="2">
      <x/>
    </i>
    <i r="2">
      <x v="1"/>
    </i>
    <i>
      <x v="1"/>
    </i>
    <i r="1">
      <x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/>
    </i>
    <i r="1">
      <x v="1"/>
    </i>
    <i r="2">
      <x v="2"/>
    </i>
    <i t="grand">
      <x/>
    </i>
  </rowItems>
  <colItems count="1">
    <i/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64D63-43ED-42C5-8E35-3E55AFA19AA9}" name="PivotOutlineManyCol" cacheId="239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AC14" firstHeaderRow="1" firstDataRow="4" firstDataCol="2"/>
  <pivotFields count="6"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axis="axisCol" compact="0" showAll="0">
      <items count="4">
        <item x="2"/>
        <item x="0"/>
        <item x="1"/>
        <item t="default"/>
      </items>
    </pivotField>
    <pivotField dataField="1" compact="0" showAll="0"/>
    <pivotField dataField="1" compact="0" showAll="0"/>
  </pivotFields>
  <rowFields count="2">
    <field x="0"/>
    <field x="1"/>
  </rowFields>
  <rowItems count="10">
    <i>
      <x/>
    </i>
    <i r="1">
      <x/>
    </i>
    <i r="1">
      <x v="2"/>
    </i>
    <i>
      <x v="1"/>
    </i>
    <i r="1">
      <x/>
    </i>
    <i r="1">
      <x v="2"/>
    </i>
    <i>
      <x v="2"/>
    </i>
    <i r="1">
      <x/>
    </i>
    <i r="1">
      <x v="1"/>
    </i>
    <i t="grand">
      <x/>
    </i>
  </rowItems>
  <colFields count="3">
    <field x="-2"/>
    <field x="2"/>
    <field x="3"/>
  </colFields>
  <colItems count="27">
    <i>
      <x/>
      <x/>
      <x v="1"/>
    </i>
    <i r="2">
      <x v="2"/>
    </i>
    <i t="default" r="1">
      <x/>
    </i>
    <i r="1">
      <x v="1"/>
      <x v="1"/>
    </i>
    <i r="2">
      <x v="2"/>
    </i>
    <i t="default" r="1">
      <x v="1"/>
    </i>
    <i r="1">
      <x v="2"/>
      <x/>
    </i>
    <i t="default" r="1">
      <x v="2"/>
    </i>
    <i i="1">
      <x v="1"/>
      <x/>
      <x v="1"/>
    </i>
    <i r="2" i="1">
      <x v="2"/>
    </i>
    <i t="default" r="1" i="1">
      <x/>
    </i>
    <i r="1" i="1">
      <x v="1"/>
      <x v="1"/>
    </i>
    <i r="2" i="1">
      <x v="2"/>
    </i>
    <i t="default" r="1" i="1">
      <x v="1"/>
    </i>
    <i r="1" i="1">
      <x v="2"/>
      <x/>
    </i>
    <i t="default" r="1" i="1">
      <x v="2"/>
    </i>
    <i i="2">
      <x v="2"/>
      <x/>
      <x v="1"/>
    </i>
    <i r="2" i="2">
      <x v="2"/>
    </i>
    <i t="default" r="1" i="2">
      <x/>
    </i>
    <i r="1" i="2">
      <x v="1"/>
      <x v="1"/>
    </i>
    <i r="2" i="2">
      <x v="2"/>
    </i>
    <i t="default" r="1" i="2">
      <x v="1"/>
    </i>
    <i r="1" i="2">
      <x v="2"/>
      <x/>
    </i>
    <i t="default" r="1" i="2">
      <x v="2"/>
    </i>
    <i t="grand">
      <x/>
    </i>
    <i t="grand" i="1">
      <x/>
    </i>
    <i t="grand" i="2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2970C5-42A4-4911-BC0C-CC2DC8B27F7B}" name="PivotCompactManyRow" cacheId="225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J45" firstHeaderRow="1" firstDataRow="3" firstDataCol="1"/>
  <pivotFields count="6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  <pivotField dataField="1" showAll="0"/>
  </pivotFields>
  <rowFields count="3">
    <field x="0"/>
    <field x="-2"/>
    <field x="1"/>
  </rowFields>
  <rowItems count="42">
    <i>
      <x/>
    </i>
    <i r="1">
      <x/>
    </i>
    <i r="2">
      <x/>
    </i>
    <i r="2">
      <x v="2"/>
    </i>
    <i r="1" i="1">
      <x v="1"/>
    </i>
    <i r="2" i="1">
      <x/>
    </i>
    <i r="2" i="1">
      <x v="2"/>
    </i>
    <i r="1" i="2">
      <x v="2"/>
    </i>
    <i r="2" i="2">
      <x/>
    </i>
    <i r="2" i="2">
      <x v="2"/>
    </i>
    <i t="default">
      <x/>
    </i>
    <i t="default" i="1">
      <x/>
    </i>
    <i t="default" i="2">
      <x/>
    </i>
    <i>
      <x v="1"/>
    </i>
    <i r="1">
      <x/>
    </i>
    <i r="2">
      <x/>
    </i>
    <i r="2">
      <x v="2"/>
    </i>
    <i r="1" i="1">
      <x v="1"/>
    </i>
    <i r="2" i="1">
      <x/>
    </i>
    <i r="2" i="1">
      <x v="2"/>
    </i>
    <i r="1" i="2">
      <x v="2"/>
    </i>
    <i r="2" i="2">
      <x/>
    </i>
    <i r="2" i="2">
      <x v="2"/>
    </i>
    <i t="default">
      <x v="1"/>
    </i>
    <i t="default" i="1">
      <x v="1"/>
    </i>
    <i t="default" i="2">
      <x v="1"/>
    </i>
    <i>
      <x v="2"/>
    </i>
    <i r="1">
      <x/>
    </i>
    <i r="2">
      <x/>
    </i>
    <i r="2">
      <x v="1"/>
    </i>
    <i r="1" i="1">
      <x v="1"/>
    </i>
    <i r="2" i="1">
      <x/>
    </i>
    <i r="2" i="1">
      <x v="1"/>
    </i>
    <i r="1" i="2">
      <x v="2"/>
    </i>
    <i r="2" i="2">
      <x/>
    </i>
    <i r="2" i="2">
      <x v="1"/>
    </i>
    <i t="default">
      <x v="2"/>
    </i>
    <i t="default" i="1">
      <x v="2"/>
    </i>
    <i t="default" i="2">
      <x v="2"/>
    </i>
    <i t="grand">
      <x/>
    </i>
    <i t="grand" i="1">
      <x/>
    </i>
    <i t="grand" i="2">
      <x/>
    </i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56ABA-D54D-4A68-A843-41596DAF136F}" name="PivotNoSubtotal3" cacheId="211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H35" firstHeaderRow="1" firstDataRow="2" firstDataCol="4"/>
  <pivotFields count="6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3">
        <item x="0"/>
        <item x="2"/>
        <item x="1"/>
      </items>
    </pivotField>
    <pivotField axis="axisRow" compact="0" outline="0" showAll="0" defaultSubtotal="0">
      <items count="3">
        <item x="0"/>
        <item x="1"/>
        <item x="2"/>
      </items>
    </pivotField>
    <pivotField axis="axisCol" compact="0" outline="0" showAll="0" defaultSubtotal="0">
      <items count="3">
        <item x="2"/>
        <item x="0"/>
        <item x="1"/>
      </items>
    </pivotField>
    <pivotField dataField="1" compact="0" outline="0" showAll="0"/>
    <pivotField dataField="1" compact="0" outline="0" showAll="0"/>
  </pivotFields>
  <rowFields count="4">
    <field x="0"/>
    <field x="-2"/>
    <field x="1"/>
    <field x="2"/>
  </rowFields>
  <rowItems count="33">
    <i>
      <x/>
      <x/>
      <x/>
      <x/>
    </i>
    <i r="3">
      <x v="1"/>
    </i>
    <i r="2">
      <x v="2"/>
      <x/>
    </i>
    <i r="3">
      <x v="1"/>
    </i>
    <i r="1" i="1">
      <x v="1"/>
      <x/>
      <x/>
    </i>
    <i r="3" i="1">
      <x v="1"/>
    </i>
    <i r="2" i="1">
      <x v="2"/>
      <x/>
    </i>
    <i r="3" i="1">
      <x v="1"/>
    </i>
    <i r="1" i="2">
      <x v="2"/>
      <x/>
      <x/>
    </i>
    <i r="3" i="2">
      <x v="1"/>
    </i>
    <i r="2" i="2">
      <x v="2"/>
      <x/>
    </i>
    <i r="3" i="2">
      <x v="1"/>
    </i>
    <i>
      <x v="1"/>
      <x/>
      <x/>
      <x/>
    </i>
    <i r="3">
      <x v="1"/>
    </i>
    <i r="2">
      <x v="2"/>
      <x/>
    </i>
    <i r="3">
      <x v="1"/>
    </i>
    <i r="1" i="1">
      <x v="1"/>
      <x/>
      <x/>
    </i>
    <i r="3" i="1">
      <x v="1"/>
    </i>
    <i r="2" i="1">
      <x v="2"/>
      <x/>
    </i>
    <i r="3" i="1">
      <x v="1"/>
    </i>
    <i r="1" i="2">
      <x v="2"/>
      <x/>
      <x/>
    </i>
    <i r="3" i="2">
      <x v="1"/>
    </i>
    <i r="2" i="2">
      <x v="2"/>
      <x/>
    </i>
    <i r="3" i="2">
      <x v="1"/>
    </i>
    <i>
      <x v="2"/>
      <x/>
      <x/>
      <x/>
    </i>
    <i r="2">
      <x v="1"/>
      <x v="2"/>
    </i>
    <i r="1" i="1">
      <x v="1"/>
      <x/>
      <x/>
    </i>
    <i r="2" i="1">
      <x v="1"/>
      <x v="2"/>
    </i>
    <i r="1" i="2">
      <x v="2"/>
      <x/>
      <x/>
    </i>
    <i r="2" i="2">
      <x v="1"/>
      <x v="2"/>
    </i>
    <i t="grand">
      <x/>
    </i>
    <i t="grand" i="1">
      <x/>
    </i>
    <i t="grand" i="2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3CC1B-1EC6-4A25-9FF5-56255DE3E0D0}" name="PivotNoGrand" cacheId="19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1:J12" firstHeaderRow="1" firstDataRow="3" firstDataCol="2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9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t="default">
      <x v="2"/>
    </i>
  </rowItems>
  <colFields count="2">
    <field x="2"/>
    <field x="3"/>
  </colFields>
  <colItems count="8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83895-BEBB-4EF0-9B48-7158A24C5D4B}" name="PivotCustomTwo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T22" firstHeaderRow="1" firstDataRow="3" firstDataCol="2"/>
  <pivotFields count="6">
    <pivotField axis="axisRow" compact="0" outline="0" showAll="0" sumSubtotal="1" avgSubtotal="1">
      <items count="5">
        <item x="0"/>
        <item x="1"/>
        <item x="2"/>
        <item t="sum"/>
        <item t="avg"/>
      </items>
    </pivotField>
    <pivotField axis="axisRow" compact="0" outline="0" showAll="0" sumSubtotal="1" avgSubtotal="1">
      <items count="5">
        <item x="0"/>
        <item x="2"/>
        <item x="1"/>
        <item t="sum"/>
        <item t="avg"/>
      </items>
    </pivotField>
    <pivotField axis="axisCol" compact="0" outline="0" showAll="0" sumSubtotal="1" avgSubtotal="1">
      <items count="5">
        <item x="0"/>
        <item x="1"/>
        <item x="2"/>
        <item t="sum"/>
        <item t="avg"/>
      </items>
    </pivotField>
    <pivotField axis="axisCol" compact="0" outline="0" showAll="0" sumSubtotal="1" avgSubtotal="1">
      <items count="5">
        <item x="2"/>
        <item x="0"/>
        <item x="1"/>
        <item t="sum"/>
        <item t="avg"/>
      </items>
    </pivotField>
    <pivotField dataField="1" compact="0" outline="0" showAll="0"/>
    <pivotField compact="0" outline="0" showAll="0"/>
  </pivotFields>
  <rowFields count="2">
    <field x="0"/>
    <field x="1"/>
  </rowFields>
  <rowItems count="19">
    <i>
      <x/>
      <x/>
    </i>
    <i r="1">
      <x v="2"/>
    </i>
    <i t="sum">
      <x/>
    </i>
    <i t="avg">
      <x/>
    </i>
    <i>
      <x v="1"/>
      <x/>
    </i>
    <i r="1">
      <x v="2"/>
    </i>
    <i t="sum">
      <x v="1"/>
    </i>
    <i t="avg">
      <x v="1"/>
    </i>
    <i>
      <x v="2"/>
      <x/>
    </i>
    <i r="1">
      <x v="1"/>
    </i>
    <i t="sum">
      <x v="2"/>
    </i>
    <i t="avg">
      <x v="2"/>
    </i>
    <i t="sum">
      <x v="1048832"/>
      <x/>
    </i>
    <i t="avg" r="1">
      <x/>
    </i>
    <i t="sum" r="1">
      <x v="1"/>
    </i>
    <i t="avg" r="1">
      <x v="1"/>
    </i>
    <i t="sum" r="1">
      <x v="2"/>
    </i>
    <i t="avg" r="1">
      <x v="2"/>
    </i>
    <i t="grand">
      <x/>
    </i>
  </rowItems>
  <colFields count="2">
    <field x="2"/>
    <field x="3"/>
  </colFields>
  <colItems count="18">
    <i>
      <x/>
      <x v="1"/>
    </i>
    <i r="1">
      <x v="2"/>
    </i>
    <i t="sum">
      <x/>
    </i>
    <i t="avg">
      <x/>
    </i>
    <i>
      <x v="1"/>
      <x v="1"/>
    </i>
    <i r="1">
      <x v="2"/>
    </i>
    <i t="sum">
      <x v="1"/>
    </i>
    <i t="avg">
      <x v="1"/>
    </i>
    <i>
      <x v="2"/>
      <x/>
    </i>
    <i t="sum">
      <x v="2"/>
    </i>
    <i t="avg">
      <x v="2"/>
    </i>
    <i t="sum">
      <x v="1048832"/>
      <x/>
    </i>
    <i t="avg" r="1">
      <x/>
    </i>
    <i t="sum" r="1">
      <x v="1"/>
    </i>
    <i t="avg" r="1">
      <x v="1"/>
    </i>
    <i t="sum" r="1">
      <x v="2"/>
    </i>
    <i t="avg" r="1">
      <x v="2"/>
    </i>
    <i t="grand">
      <x/>
    </i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74E42-1C92-4890-83DB-687D34987B65}" name="PivotCustomSum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N16" firstHeaderRow="1" firstDataRow="3" firstDataCol="2"/>
  <pivotFields count="6">
    <pivotField axis="axisRow" compact="0" outline="0" showAll="0" sumSubtotal="1">
      <items count="4">
        <item x="0"/>
        <item x="1"/>
        <item x="2"/>
        <item t="sum"/>
      </items>
    </pivotField>
    <pivotField axis="axisRow" compact="0" outline="0" showAll="0" sumSubtotal="1">
      <items count="4">
        <item x="0"/>
        <item x="2"/>
        <item x="1"/>
        <item t="sum"/>
      </items>
    </pivotField>
    <pivotField axis="axisCol" compact="0" outline="0" showAll="0" sumSubtotal="1">
      <items count="4">
        <item x="0"/>
        <item x="1"/>
        <item x="2"/>
        <item t="sum"/>
      </items>
    </pivotField>
    <pivotField axis="axisCol" compact="0" outline="0" showAll="0" sumSubtotal="1">
      <items count="4">
        <item x="2"/>
        <item x="0"/>
        <item x="1"/>
        <item t="sum"/>
      </items>
    </pivotField>
    <pivotField dataField="1" compact="0" outline="0" showAll="0"/>
    <pivotField compact="0" outline="0" showAll="0"/>
  </pivotFields>
  <rowFields count="2">
    <field x="0"/>
    <field x="1"/>
  </rowFields>
  <rowItems count="13">
    <i>
      <x/>
      <x/>
    </i>
    <i r="1">
      <x v="2"/>
    </i>
    <i t="sum">
      <x/>
    </i>
    <i>
      <x v="1"/>
      <x/>
    </i>
    <i r="1">
      <x v="2"/>
    </i>
    <i t="sum">
      <x v="1"/>
    </i>
    <i>
      <x v="2"/>
      <x/>
    </i>
    <i r="1">
      <x v="1"/>
    </i>
    <i t="sum">
      <x v="2"/>
    </i>
    <i t="sum">
      <x v="1048832"/>
      <x/>
    </i>
    <i t="sum" r="1">
      <x v="1"/>
    </i>
    <i t="sum" r="1">
      <x v="2"/>
    </i>
    <i t="grand">
      <x/>
    </i>
  </rowItems>
  <colFields count="2">
    <field x="2"/>
    <field x="3"/>
  </colFields>
  <colItems count="12">
    <i>
      <x/>
      <x v="1"/>
    </i>
    <i r="1">
      <x v="2"/>
    </i>
    <i t="sum">
      <x/>
    </i>
    <i>
      <x v="1"/>
      <x v="1"/>
    </i>
    <i r="1">
      <x v="2"/>
    </i>
    <i t="sum">
      <x v="1"/>
    </i>
    <i>
      <x v="2"/>
      <x/>
    </i>
    <i t="sum">
      <x v="2"/>
    </i>
    <i t="sum">
      <x v="1048832"/>
      <x/>
    </i>
    <i t="sum" r="1">
      <x v="1"/>
    </i>
    <i t="sum" r="1">
      <x v="2"/>
    </i>
    <i t="grand">
      <x/>
    </i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1546B-AE00-4585-9ABC-D6AB02D35489}" name="PivotNoSubtotals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H10" firstHeaderRow="1" firstDataRow="3" firstDataCol="2"/>
  <pivotFields count="6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3">
        <item x="0"/>
        <item x="2"/>
        <item x="1"/>
      </items>
    </pivotField>
    <pivotField axis="axisCol" compact="0" outline="0" showAll="0" defaultSubtotal="0">
      <items count="3">
        <item x="0"/>
        <item x="1"/>
        <item x="2"/>
      </items>
    </pivotField>
    <pivotField axis="axisCol" compact="0" outline="0" showAll="0" defaultSubtotal="0">
      <items count="3">
        <item x="2"/>
        <item x="0"/>
        <item x="1"/>
      </items>
    </pivotField>
    <pivotField dataField="1" compact="0" outline="0" showAll="0"/>
    <pivotField compact="0" outline="0" showAll="0"/>
  </pivotFields>
  <rowFields count="2">
    <field x="0"/>
    <field x="1"/>
  </rowFields>
  <rowItems count="7">
    <i>
      <x/>
      <x/>
    </i>
    <i r="1">
      <x v="2"/>
    </i>
    <i>
      <x v="1"/>
      <x/>
    </i>
    <i r="1">
      <x v="2"/>
    </i>
    <i>
      <x v="2"/>
      <x/>
    </i>
    <i r="1">
      <x v="1"/>
    </i>
    <i t="grand">
      <x/>
    </i>
  </rowItems>
  <colFields count="2">
    <field x="2"/>
    <field x="3"/>
  </colFields>
  <colItems count="6">
    <i>
      <x/>
      <x v="1"/>
    </i>
    <i r="1">
      <x v="2"/>
    </i>
    <i>
      <x v="1"/>
      <x v="1"/>
    </i>
    <i r="1">
      <x v="2"/>
    </i>
    <i>
      <x v="2"/>
      <x/>
    </i>
    <i t="grand">
      <x/>
    </i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B5769-7A99-4756-9B62-193FDD57DAEC}" name="PivotOuterRow" cacheId="141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L33" firstHeaderRow="1" firstDataRow="3" firstDataCol="3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3">
    <field x="-2"/>
    <field x="0"/>
    <field x="1"/>
  </rowFields>
  <rowItems count="30">
    <i>
      <x/>
      <x/>
      <x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t="default" r="1">
      <x v="2"/>
    </i>
    <i i="1">
      <x v="1"/>
      <x/>
      <x/>
    </i>
    <i r="2" i="1">
      <x v="2"/>
    </i>
    <i t="default" r="1" i="1">
      <x/>
    </i>
    <i r="1" i="1">
      <x v="1"/>
      <x/>
    </i>
    <i r="2" i="1">
      <x v="2"/>
    </i>
    <i t="default" r="1" i="1">
      <x v="1"/>
    </i>
    <i r="1" i="1">
      <x v="2"/>
      <x/>
    </i>
    <i r="2" i="1">
      <x v="1"/>
    </i>
    <i t="default" r="1" i="1">
      <x v="2"/>
    </i>
    <i i="2">
      <x v="2"/>
      <x/>
      <x/>
    </i>
    <i r="2" i="2">
      <x v="2"/>
    </i>
    <i t="default" r="1" i="2">
      <x/>
    </i>
    <i r="1" i="2">
      <x v="1"/>
      <x/>
    </i>
    <i r="2" i="2">
      <x v="2"/>
    </i>
    <i t="default" r="1" i="2">
      <x v="1"/>
    </i>
    <i r="1" i="2">
      <x v="2"/>
      <x/>
    </i>
    <i r="2" i="2">
      <x v="1"/>
    </i>
    <i t="default" r="1" i="2">
      <x v="2"/>
    </i>
    <i t="grand">
      <x/>
    </i>
    <i t="grand" i="1">
      <x/>
    </i>
    <i t="grand" i="2">
      <x/>
    </i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9FB9F-DDD0-43E7-B0DE-7454E4213E49}" name="PivotOuterCol" cacheId="127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AC14" firstHeaderRow="1" firstDataRow="4" firstDataCol="2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0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t="default">
      <x v="2"/>
    </i>
    <i t="grand">
      <x/>
    </i>
  </rowItems>
  <colFields count="3">
    <field x="-2"/>
    <field x="2"/>
    <field x="3"/>
  </colFields>
  <colItems count="27">
    <i>
      <x/>
      <x/>
      <x v="1"/>
    </i>
    <i r="2">
      <x v="2"/>
    </i>
    <i t="default" r="1">
      <x/>
    </i>
    <i r="1">
      <x v="1"/>
      <x v="1"/>
    </i>
    <i r="2">
      <x v="2"/>
    </i>
    <i t="default" r="1">
      <x v="1"/>
    </i>
    <i r="1">
      <x v="2"/>
      <x/>
    </i>
    <i t="default" r="1">
      <x v="2"/>
    </i>
    <i i="1">
      <x v="1"/>
      <x/>
      <x v="1"/>
    </i>
    <i r="2" i="1">
      <x v="2"/>
    </i>
    <i t="default" r="1" i="1">
      <x/>
    </i>
    <i r="1" i="1">
      <x v="1"/>
      <x v="1"/>
    </i>
    <i r="2" i="1">
      <x v="2"/>
    </i>
    <i t="default" r="1" i="1">
      <x v="1"/>
    </i>
    <i r="1" i="1">
      <x v="2"/>
      <x/>
    </i>
    <i t="default" r="1" i="1">
      <x v="2"/>
    </i>
    <i i="2">
      <x v="2"/>
      <x/>
      <x v="1"/>
    </i>
    <i r="2" i="2">
      <x v="2"/>
    </i>
    <i t="default" r="1" i="2">
      <x/>
    </i>
    <i r="1" i="2">
      <x v="1"/>
      <x v="1"/>
    </i>
    <i r="2" i="2">
      <x v="2"/>
    </i>
    <i t="default" r="1" i="2">
      <x v="1"/>
    </i>
    <i r="1" i="2">
      <x v="2"/>
      <x/>
    </i>
    <i t="default" r="1" i="2">
      <x v="2"/>
    </i>
    <i t="grand">
      <x/>
    </i>
    <i t="grand" i="1">
      <x/>
    </i>
    <i t="grand" i="2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E49C2-6AC1-4312-A868-5CF396FE0119}" name="PivotMiddleRow" cacheId="113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L33" firstHeaderRow="1" firstDataRow="3" firstDataCol="3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3">
    <field x="0"/>
    <field x="-2"/>
    <field x="1"/>
  </rowFields>
  <rowItems count="30">
    <i>
      <x/>
      <x/>
      <x/>
    </i>
    <i r="2">
      <x v="2"/>
    </i>
    <i r="1" i="1">
      <x v="1"/>
      <x/>
    </i>
    <i r="2" i="1">
      <x v="2"/>
    </i>
    <i r="1" i="2">
      <x v="2"/>
      <x/>
    </i>
    <i r="2" i="2">
      <x v="2"/>
    </i>
    <i t="default">
      <x/>
    </i>
    <i t="default" i="1">
      <x/>
    </i>
    <i t="default" i="2">
      <x/>
    </i>
    <i>
      <x v="1"/>
      <x/>
      <x/>
    </i>
    <i r="2">
      <x v="2"/>
    </i>
    <i r="1" i="1">
      <x v="1"/>
      <x/>
    </i>
    <i r="2" i="1">
      <x v="2"/>
    </i>
    <i r="1" i="2">
      <x v="2"/>
      <x/>
    </i>
    <i r="2" i="2">
      <x v="2"/>
    </i>
    <i t="default">
      <x v="1"/>
    </i>
    <i t="default" i="1">
      <x v="1"/>
    </i>
    <i t="default" i="2">
      <x v="1"/>
    </i>
    <i>
      <x v="2"/>
      <x/>
      <x/>
    </i>
    <i r="2">
      <x v="1"/>
    </i>
    <i r="1" i="1">
      <x v="1"/>
      <x/>
    </i>
    <i r="2" i="1">
      <x v="1"/>
    </i>
    <i r="1" i="2">
      <x v="2"/>
      <x/>
    </i>
    <i r="2" i="2">
      <x v="1"/>
    </i>
    <i t="default">
      <x v="2"/>
    </i>
    <i t="default" i="1">
      <x v="2"/>
    </i>
    <i t="default" i="2">
      <x v="2"/>
    </i>
    <i t="grand">
      <x/>
    </i>
    <i t="grand" i="1">
      <x/>
    </i>
    <i t="grand" i="2">
      <x/>
    </i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9A65E-0C12-4A3B-900A-448060D86252}" name="PivotMiddleCol" cacheId="99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AC14" firstHeaderRow="1" firstDataRow="4" firstDataCol="2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0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t="default">
      <x v="2"/>
    </i>
    <i t="grand">
      <x/>
    </i>
  </rowItems>
  <colFields count="3">
    <field x="2"/>
    <field x="-2"/>
    <field x="3"/>
  </colFields>
  <colItems count="27">
    <i>
      <x/>
      <x/>
      <x v="1"/>
    </i>
    <i r="2">
      <x v="2"/>
    </i>
    <i r="1" i="1">
      <x v="1"/>
      <x v="1"/>
    </i>
    <i r="2" i="1">
      <x v="2"/>
    </i>
    <i r="1" i="2">
      <x v="2"/>
      <x v="1"/>
    </i>
    <i r="2" i="2">
      <x v="2"/>
    </i>
    <i t="default">
      <x/>
    </i>
    <i t="default" i="1">
      <x/>
    </i>
    <i t="default" i="2">
      <x/>
    </i>
    <i>
      <x v="1"/>
      <x/>
      <x v="1"/>
    </i>
    <i r="2">
      <x v="2"/>
    </i>
    <i r="1" i="1">
      <x v="1"/>
      <x v="1"/>
    </i>
    <i r="2" i="1">
      <x v="2"/>
    </i>
    <i r="1" i="2">
      <x v="2"/>
      <x v="1"/>
    </i>
    <i r="2" i="2">
      <x v="2"/>
    </i>
    <i t="default">
      <x v="1"/>
    </i>
    <i t="default" i="1">
      <x v="1"/>
    </i>
    <i t="default" i="2">
      <x v="1"/>
    </i>
    <i>
      <x v="2"/>
      <x/>
      <x/>
    </i>
    <i r="1" i="1">
      <x v="1"/>
      <x/>
    </i>
    <i r="1" i="2">
      <x v="2"/>
      <x/>
    </i>
    <i t="default">
      <x v="2"/>
    </i>
    <i t="default" i="1">
      <x v="2"/>
    </i>
    <i t="default" i="2">
      <x v="2"/>
    </i>
    <i t="grand">
      <x/>
    </i>
    <i t="grand" i="1">
      <x/>
    </i>
    <i t="grand" i="2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5EA5B-B9D2-4D6E-957D-AE9E219E72EA}" name="PivotManyRow" cacheId="8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L33" firstHeaderRow="1" firstDataRow="3" firstDataCol="3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3">
    <field x="0"/>
    <field x="1"/>
    <field x="-2"/>
  </rowFields>
  <rowItems count="30">
    <i>
      <x/>
      <x/>
      <x/>
    </i>
    <i r="2" i="1">
      <x v="1"/>
    </i>
    <i r="2" i="2">
      <x v="2"/>
    </i>
    <i r="1">
      <x v="2"/>
      <x/>
    </i>
    <i r="2" i="1">
      <x v="1"/>
    </i>
    <i r="2" i="2">
      <x v="2"/>
    </i>
    <i t="default">
      <x/>
    </i>
    <i t="default" i="1">
      <x/>
    </i>
    <i t="default" i="2">
      <x/>
    </i>
    <i>
      <x v="1"/>
      <x/>
      <x/>
    </i>
    <i r="2" i="1">
      <x v="1"/>
    </i>
    <i r="2" i="2">
      <x v="2"/>
    </i>
    <i r="1">
      <x v="2"/>
      <x/>
    </i>
    <i r="2" i="1">
      <x v="1"/>
    </i>
    <i r="2" i="2">
      <x v="2"/>
    </i>
    <i t="default">
      <x v="1"/>
    </i>
    <i t="default" i="1">
      <x v="1"/>
    </i>
    <i t="default" i="2">
      <x v="1"/>
    </i>
    <i>
      <x v="2"/>
      <x/>
      <x/>
    </i>
    <i r="2" i="1">
      <x v="1"/>
    </i>
    <i r="2" i="2">
      <x v="2"/>
    </i>
    <i r="1">
      <x v="1"/>
      <x/>
    </i>
    <i r="2" i="1">
      <x v="1"/>
    </i>
    <i r="2" i="2">
      <x v="2"/>
    </i>
    <i t="default">
      <x v="2"/>
    </i>
    <i t="default" i="1">
      <x v="2"/>
    </i>
    <i t="default" i="2">
      <x v="2"/>
    </i>
    <i t="grand">
      <x/>
    </i>
    <i t="grand" i="1">
      <x/>
    </i>
    <i t="grand" i="2">
      <x/>
    </i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30403-C999-4EC9-908D-32B55C8C9D17}" name="PivotManyCol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AC14" firstHeaderRow="1" firstDataRow="4" firstDataCol="2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10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t="default">
      <x v="2"/>
    </i>
    <i t="grand">
      <x/>
    </i>
  </rowItems>
  <colFields count="3">
    <field x="2"/>
    <field x="3"/>
    <field x="-2"/>
  </colFields>
  <colItems count="27">
    <i>
      <x/>
      <x v="1"/>
      <x/>
    </i>
    <i r="2" i="1">
      <x v="1"/>
    </i>
    <i r="2" i="2">
      <x v="2"/>
    </i>
    <i r="1">
      <x v="2"/>
      <x/>
    </i>
    <i r="2" i="1">
      <x v="1"/>
    </i>
    <i r="2" i="2">
      <x v="2"/>
    </i>
    <i t="default">
      <x/>
    </i>
    <i t="default" i="1">
      <x/>
    </i>
    <i t="default" i="2">
      <x/>
    </i>
    <i>
      <x v="1"/>
      <x v="1"/>
      <x/>
    </i>
    <i r="2" i="1">
      <x v="1"/>
    </i>
    <i r="2" i="2">
      <x v="2"/>
    </i>
    <i r="1">
      <x v="2"/>
      <x/>
    </i>
    <i r="2" i="1">
      <x v="1"/>
    </i>
    <i r="2" i="2">
      <x v="2"/>
    </i>
    <i t="default">
      <x v="1"/>
    </i>
    <i t="default" i="1">
      <x v="1"/>
    </i>
    <i t="default" i="2">
      <x v="1"/>
    </i>
    <i>
      <x v="2"/>
      <x/>
      <x/>
    </i>
    <i r="2" i="1">
      <x v="1"/>
    </i>
    <i r="2" i="2">
      <x v="2"/>
    </i>
    <i t="default">
      <x v="2"/>
    </i>
    <i t="default" i="1">
      <x v="2"/>
    </i>
    <i t="default" i="2">
      <x v="2"/>
    </i>
    <i t="grand">
      <x/>
    </i>
    <i t="grand" i="1">
      <x/>
    </i>
    <i t="grand" i="2">
      <x/>
    </i>
  </colItems>
  <dataFields count="3">
    <dataField name="Revenue" fld="4" baseField="0" baseItem="0"/>
    <dataField name="AvgUnits" fld="5" subtotal="average" baseField="0" baseItem="0"/>
    <dataField name="Entrie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E8C78-C750-437E-B95B-72CEE5C078DB}" name="PivotCol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T5" firstHeaderRow="1" firstDataRow="4" firstDataCol="1"/>
  <pivotFields count="6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</pivotFields>
  <rowItems count="1">
    <i/>
  </rowItems>
  <colFields count="3">
    <field x="2"/>
    <field x="3"/>
    <field x="0"/>
  </colFields>
  <colItems count="19">
    <i>
      <x/>
      <x v="1"/>
      <x/>
    </i>
    <i r="2">
      <x v="1"/>
    </i>
    <i r="2">
      <x v="2"/>
    </i>
    <i t="default" r="1">
      <x v="1"/>
    </i>
    <i r="1">
      <x v="2"/>
      <x/>
    </i>
    <i r="2">
      <x v="1"/>
    </i>
    <i t="default" r="1">
      <x v="2"/>
    </i>
    <i t="default">
      <x/>
    </i>
    <i>
      <x v="1"/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/>
      <x v="2"/>
    </i>
    <i t="default" r="1">
      <x/>
    </i>
    <i t="default">
      <x v="2"/>
    </i>
    <i t="grand">
      <x/>
    </i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0940E-BC24-472F-BC34-6991155E0408}" name="PivotRow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D21" firstHeaderRow="1" firstDataRow="1" firstDataCol="3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</pivotFields>
  <rowFields count="3">
    <field x="0"/>
    <field x="1"/>
    <field x="2"/>
  </rowFields>
  <rowItems count="20">
    <i>
      <x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/>
    </i>
    <i>
      <x v="1"/>
      <x/>
      <x/>
    </i>
    <i r="2">
      <x v="1"/>
    </i>
    <i t="default" r="1">
      <x/>
    </i>
    <i r="1">
      <x v="2"/>
      <x/>
    </i>
    <i r="2">
      <x v="1"/>
    </i>
    <i t="default" r="1">
      <x v="2"/>
    </i>
    <i t="default">
      <x v="1"/>
    </i>
    <i>
      <x v="2"/>
      <x/>
      <x/>
    </i>
    <i t="default" r="1">
      <x/>
    </i>
    <i r="1">
      <x v="1"/>
      <x v="2"/>
    </i>
    <i t="default" r="1">
      <x v="1"/>
    </i>
    <i t="default">
      <x v="2"/>
    </i>
    <i t="grand">
      <x/>
    </i>
  </rowItems>
  <colItems count="1">
    <i/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4CE06-6BCC-40BE-BADE-D2083393FBB9}" name="PivotBoth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K13" firstHeaderRow="1" firstDataRow="3" firstDataCol="2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</pivotFields>
  <rowFields count="2">
    <field x="0"/>
    <field x="1"/>
  </rowFields>
  <rowItems count="10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t="default">
      <x v="2"/>
    </i>
    <i t="grand">
      <x/>
    </i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0DD64-768B-4F43-A597-CDEE163F61FE}" name="PivotCol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J4" firstHeaderRow="1" firstDataRow="3" firstDataCol="1"/>
  <pivotFields count="6"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  <pivotField compact="0" outline="0" showAll="0"/>
  </pivotFields>
  <rowItems count="1">
    <i/>
  </rowItems>
  <colFields count="2">
    <field x="2"/>
    <field x="3"/>
  </colFields>
  <colItems count="9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/>
    </i>
    <i t="default">
      <x v="2"/>
    </i>
    <i t="grand">
      <x/>
    </i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A050A-DC6A-4699-BC6B-48C92F4270F7}" name="PivotRow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1" firstHeaderRow="1" firstDataRow="1" firstDataCol="2"/>
  <pivotFields count="6"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0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8F44-FF17-48BC-939A-6DE6742B5CD1}">
  <dimension ref="A1:L27"/>
  <sheetViews>
    <sheetView tabSelected="1" workbookViewId="0"/>
  </sheetViews>
  <sheetFormatPr defaultRowHeight="14.5" x14ac:dyDescent="0.35"/>
  <cols>
    <col min="1" max="1" width="13.54296875" bestFit="1" customWidth="1"/>
    <col min="2" max="2" width="15.6328125" bestFit="1" customWidth="1"/>
    <col min="3" max="3" width="8.7265625" bestFit="1" customWidth="1"/>
    <col min="4" max="6" width="11.81640625" bestFit="1" customWidth="1"/>
    <col min="7" max="8" width="5.7265625" bestFit="1" customWidth="1"/>
    <col min="9" max="9" width="6.36328125" bestFit="1" customWidth="1"/>
    <col min="10" max="10" width="5.90625" bestFit="1" customWidth="1"/>
    <col min="11" max="11" width="6.54296875" bestFit="1" customWidth="1"/>
    <col min="12" max="12" width="11.81640625" bestFit="1" customWidth="1"/>
    <col min="13" max="13" width="6.6328125" bestFit="1" customWidth="1"/>
    <col min="14" max="14" width="8.08984375" bestFit="1" customWidth="1"/>
    <col min="15" max="15" width="8.1796875" bestFit="1" customWidth="1"/>
    <col min="16" max="16" width="6.6328125" bestFit="1" customWidth="1"/>
    <col min="17" max="17" width="9.54296875" bestFit="1" customWidth="1"/>
    <col min="18" max="18" width="9.6328125" bestFit="1" customWidth="1"/>
    <col min="19" max="20" width="8.08984375" bestFit="1" customWidth="1"/>
    <col min="21" max="21" width="8.1796875" bestFit="1" customWidth="1"/>
    <col min="22" max="22" width="6.6328125" bestFit="1" customWidth="1"/>
    <col min="23" max="23" width="9.7265625" bestFit="1" customWidth="1"/>
    <col min="24" max="24" width="9.81640625" bestFit="1" customWidth="1"/>
    <col min="25" max="25" width="8.26953125" bestFit="1" customWidth="1"/>
    <col min="26" max="26" width="12.54296875" bestFit="1" customWidth="1"/>
    <col min="27" max="27" width="12.6328125" bestFit="1" customWidth="1"/>
    <col min="28" max="28" width="11.08984375" bestFit="1" customWidth="1"/>
  </cols>
  <sheetData>
    <row r="1" spans="1:12" x14ac:dyDescent="0.35">
      <c r="D1" s="1" t="s">
        <v>2</v>
      </c>
      <c r="E1" s="1" t="s">
        <v>3</v>
      </c>
    </row>
    <row r="2" spans="1:12" x14ac:dyDescent="0.35">
      <c r="D2" t="s">
        <v>8</v>
      </c>
      <c r="F2" t="s">
        <v>26</v>
      </c>
      <c r="G2" t="s">
        <v>11</v>
      </c>
      <c r="I2" t="s">
        <v>27</v>
      </c>
      <c r="J2" t="s">
        <v>15</v>
      </c>
      <c r="K2" t="s">
        <v>28</v>
      </c>
      <c r="L2" t="s">
        <v>19</v>
      </c>
    </row>
    <row r="3" spans="1:12" x14ac:dyDescent="0.35">
      <c r="A3" s="1" t="s">
        <v>0</v>
      </c>
      <c r="B3" s="1" t="s">
        <v>1</v>
      </c>
      <c r="C3" s="1" t="s">
        <v>52</v>
      </c>
      <c r="D3" t="s">
        <v>9</v>
      </c>
      <c r="E3" t="s">
        <v>12</v>
      </c>
      <c r="G3" t="s">
        <v>9</v>
      </c>
      <c r="H3" t="s">
        <v>12</v>
      </c>
      <c r="J3" t="s">
        <v>16</v>
      </c>
    </row>
    <row r="4" spans="1:12" x14ac:dyDescent="0.35">
      <c r="A4" t="s">
        <v>6</v>
      </c>
      <c r="C4" t="s">
        <v>20</v>
      </c>
      <c r="D4" s="4">
        <v>13</v>
      </c>
      <c r="E4" s="4">
        <v>0</v>
      </c>
      <c r="F4" s="4">
        <v>13</v>
      </c>
      <c r="G4" s="4">
        <v>5</v>
      </c>
      <c r="H4" s="4">
        <v>-2</v>
      </c>
      <c r="I4" s="4">
        <v>3</v>
      </c>
      <c r="J4" s="4"/>
      <c r="K4" s="4"/>
      <c r="L4" s="4">
        <v>16</v>
      </c>
    </row>
    <row r="5" spans="1:12" x14ac:dyDescent="0.35">
      <c r="C5" t="s">
        <v>46</v>
      </c>
      <c r="D5" s="4">
        <v>4</v>
      </c>
      <c r="E5" s="4">
        <v>1</v>
      </c>
      <c r="F5" s="4">
        <v>3</v>
      </c>
      <c r="G5" s="4">
        <v>1</v>
      </c>
      <c r="H5" s="4">
        <v>1</v>
      </c>
      <c r="I5" s="4">
        <v>1</v>
      </c>
      <c r="J5" s="4"/>
      <c r="K5" s="4"/>
      <c r="L5" s="4">
        <v>2.2000000000000002</v>
      </c>
    </row>
    <row r="6" spans="1:12" x14ac:dyDescent="0.35">
      <c r="C6" t="s">
        <v>51</v>
      </c>
      <c r="D6" s="4">
        <v>2</v>
      </c>
      <c r="E6" s="4">
        <v>1</v>
      </c>
      <c r="F6" s="4">
        <v>3</v>
      </c>
      <c r="G6" s="4">
        <v>1</v>
      </c>
      <c r="H6" s="4">
        <v>1</v>
      </c>
      <c r="I6" s="4">
        <v>2</v>
      </c>
      <c r="J6" s="4"/>
      <c r="K6" s="4"/>
      <c r="L6" s="4">
        <v>5</v>
      </c>
    </row>
    <row r="7" spans="1:12" x14ac:dyDescent="0.35">
      <c r="A7" t="s">
        <v>10</v>
      </c>
      <c r="B7" t="s">
        <v>7</v>
      </c>
      <c r="C7" t="s">
        <v>20</v>
      </c>
      <c r="D7" s="4">
        <v>0</v>
      </c>
      <c r="E7" s="4">
        <v>8</v>
      </c>
      <c r="F7" s="4">
        <v>8</v>
      </c>
      <c r="G7" s="4"/>
      <c r="H7" s="4">
        <v>20</v>
      </c>
      <c r="I7" s="4">
        <v>20</v>
      </c>
      <c r="J7" s="4"/>
      <c r="K7" s="4"/>
      <c r="L7" s="4">
        <v>28</v>
      </c>
    </row>
    <row r="8" spans="1:12" x14ac:dyDescent="0.35">
      <c r="C8" t="s">
        <v>46</v>
      </c>
      <c r="D8" s="4">
        <v>2</v>
      </c>
      <c r="E8" s="4">
        <v>2</v>
      </c>
      <c r="F8" s="4">
        <v>2</v>
      </c>
      <c r="G8" s="4"/>
      <c r="H8" s="4">
        <v>3</v>
      </c>
      <c r="I8" s="4">
        <v>3</v>
      </c>
      <c r="J8" s="4"/>
      <c r="K8" s="4"/>
      <c r="L8" s="4">
        <v>2.3333333333333335</v>
      </c>
    </row>
    <row r="9" spans="1:12" x14ac:dyDescent="0.35">
      <c r="C9" t="s">
        <v>51</v>
      </c>
      <c r="D9" s="4">
        <v>1</v>
      </c>
      <c r="E9" s="4">
        <v>1</v>
      </c>
      <c r="F9" s="4">
        <v>2</v>
      </c>
      <c r="G9" s="4"/>
      <c r="H9" s="4">
        <v>1</v>
      </c>
      <c r="I9" s="4">
        <v>1</v>
      </c>
      <c r="J9" s="4"/>
      <c r="K9" s="4"/>
      <c r="L9" s="4">
        <v>3</v>
      </c>
    </row>
    <row r="10" spans="1:12" x14ac:dyDescent="0.35">
      <c r="B10" t="s">
        <v>13</v>
      </c>
      <c r="C10" t="s">
        <v>20</v>
      </c>
      <c r="D10" s="4"/>
      <c r="E10" s="4">
        <v>15</v>
      </c>
      <c r="F10" s="4">
        <v>15</v>
      </c>
      <c r="G10" s="4">
        <v>7</v>
      </c>
      <c r="H10" s="4"/>
      <c r="I10" s="4">
        <v>7</v>
      </c>
      <c r="J10" s="4"/>
      <c r="K10" s="4"/>
      <c r="L10" s="4">
        <v>22</v>
      </c>
    </row>
    <row r="11" spans="1:12" x14ac:dyDescent="0.35">
      <c r="C11" t="s">
        <v>46</v>
      </c>
      <c r="D11" s="4"/>
      <c r="E11" s="4">
        <v>4</v>
      </c>
      <c r="F11" s="4">
        <v>4</v>
      </c>
      <c r="G11" s="4">
        <v>3</v>
      </c>
      <c r="H11" s="4"/>
      <c r="I11" s="4">
        <v>3</v>
      </c>
      <c r="J11" s="4"/>
      <c r="K11" s="4"/>
      <c r="L11" s="4">
        <v>3.5</v>
      </c>
    </row>
    <row r="12" spans="1:12" x14ac:dyDescent="0.35">
      <c r="C12" t="s">
        <v>51</v>
      </c>
      <c r="D12" s="4"/>
      <c r="E12" s="4">
        <v>1</v>
      </c>
      <c r="F12" s="4">
        <v>1</v>
      </c>
      <c r="G12" s="4">
        <v>1</v>
      </c>
      <c r="H12" s="4"/>
      <c r="I12" s="4">
        <v>1</v>
      </c>
      <c r="J12" s="4"/>
      <c r="K12" s="4"/>
      <c r="L12" s="4">
        <v>2</v>
      </c>
    </row>
    <row r="13" spans="1:12" x14ac:dyDescent="0.35">
      <c r="A13" t="s">
        <v>57</v>
      </c>
      <c r="D13" s="4">
        <v>0</v>
      </c>
      <c r="E13" s="4">
        <v>23</v>
      </c>
      <c r="F13" s="4">
        <v>23</v>
      </c>
      <c r="G13" s="4">
        <v>7</v>
      </c>
      <c r="H13" s="4">
        <v>20</v>
      </c>
      <c r="I13" s="4">
        <v>27</v>
      </c>
      <c r="J13" s="4"/>
      <c r="K13" s="4"/>
      <c r="L13" s="4">
        <v>50</v>
      </c>
    </row>
    <row r="14" spans="1:12" x14ac:dyDescent="0.35">
      <c r="A14" t="s">
        <v>58</v>
      </c>
      <c r="D14" s="4">
        <v>2</v>
      </c>
      <c r="E14" s="4">
        <v>3</v>
      </c>
      <c r="F14" s="4">
        <v>2.6666666666666665</v>
      </c>
      <c r="G14" s="4">
        <v>3</v>
      </c>
      <c r="H14" s="4">
        <v>3</v>
      </c>
      <c r="I14" s="4">
        <v>3</v>
      </c>
      <c r="J14" s="4"/>
      <c r="K14" s="4"/>
      <c r="L14" s="4">
        <v>2.8</v>
      </c>
    </row>
    <row r="15" spans="1:12" x14ac:dyDescent="0.35">
      <c r="A15" t="s">
        <v>59</v>
      </c>
      <c r="D15" s="4">
        <v>1</v>
      </c>
      <c r="E15" s="4">
        <v>2</v>
      </c>
      <c r="F15" s="4">
        <v>3</v>
      </c>
      <c r="G15" s="4">
        <v>1</v>
      </c>
      <c r="H15" s="4">
        <v>1</v>
      </c>
      <c r="I15" s="4">
        <v>2</v>
      </c>
      <c r="J15" s="4"/>
      <c r="K15" s="4"/>
      <c r="L15" s="4">
        <v>5</v>
      </c>
    </row>
    <row r="16" spans="1:12" x14ac:dyDescent="0.35">
      <c r="A16" t="s">
        <v>13</v>
      </c>
      <c r="B16" t="s">
        <v>7</v>
      </c>
      <c r="C16" t="s">
        <v>20</v>
      </c>
      <c r="D16" s="4">
        <v>4</v>
      </c>
      <c r="E16" s="4"/>
      <c r="F16" s="4">
        <v>4</v>
      </c>
      <c r="G16" s="4"/>
      <c r="H16" s="4"/>
      <c r="I16" s="4"/>
      <c r="J16" s="4"/>
      <c r="K16" s="4"/>
      <c r="L16" s="4">
        <v>4</v>
      </c>
    </row>
    <row r="17" spans="1:12" x14ac:dyDescent="0.35">
      <c r="C17" t="s">
        <v>46</v>
      </c>
      <c r="D17" s="4">
        <v>2</v>
      </c>
      <c r="E17" s="4"/>
      <c r="F17" s="4">
        <v>2</v>
      </c>
      <c r="G17" s="4"/>
      <c r="H17" s="4"/>
      <c r="I17" s="4"/>
      <c r="J17" s="4"/>
      <c r="K17" s="4"/>
      <c r="L17" s="4">
        <v>2</v>
      </c>
    </row>
    <row r="18" spans="1:12" x14ac:dyDescent="0.35">
      <c r="C18" t="s">
        <v>51</v>
      </c>
      <c r="D18" s="4">
        <v>1</v>
      </c>
      <c r="E18" s="4"/>
      <c r="F18" s="4">
        <v>1</v>
      </c>
      <c r="G18" s="4"/>
      <c r="H18" s="4"/>
      <c r="I18" s="4"/>
      <c r="J18" s="4"/>
      <c r="K18" s="4"/>
      <c r="L18" s="4">
        <v>1</v>
      </c>
    </row>
    <row r="19" spans="1:12" x14ac:dyDescent="0.35">
      <c r="B19" t="s">
        <v>14</v>
      </c>
      <c r="C19" t="s">
        <v>20</v>
      </c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5">
      <c r="C20" t="s">
        <v>46</v>
      </c>
      <c r="D20" s="4"/>
      <c r="E20" s="4"/>
      <c r="F20" s="4"/>
      <c r="G20" s="4"/>
      <c r="H20" s="4"/>
      <c r="I20" s="4"/>
      <c r="J20" s="4">
        <v>5</v>
      </c>
      <c r="K20" s="4">
        <v>5</v>
      </c>
      <c r="L20" s="4">
        <v>5</v>
      </c>
    </row>
    <row r="21" spans="1:12" x14ac:dyDescent="0.35">
      <c r="C21" t="s">
        <v>51</v>
      </c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5">
      <c r="A22" t="s">
        <v>60</v>
      </c>
      <c r="D22" s="4">
        <v>4</v>
      </c>
      <c r="E22" s="4"/>
      <c r="F22" s="4">
        <v>4</v>
      </c>
      <c r="G22" s="4"/>
      <c r="H22" s="4"/>
      <c r="I22" s="4"/>
      <c r="J22" s="4"/>
      <c r="K22" s="4"/>
      <c r="L22" s="4">
        <v>4</v>
      </c>
    </row>
    <row r="23" spans="1:12" x14ac:dyDescent="0.35">
      <c r="A23" t="s">
        <v>61</v>
      </c>
      <c r="D23" s="4">
        <v>2</v>
      </c>
      <c r="E23" s="4"/>
      <c r="F23" s="4">
        <v>2</v>
      </c>
      <c r="G23" s="4"/>
      <c r="H23" s="4"/>
      <c r="I23" s="4"/>
      <c r="J23" s="4">
        <v>5</v>
      </c>
      <c r="K23" s="4">
        <v>5</v>
      </c>
      <c r="L23" s="4">
        <v>3.5</v>
      </c>
    </row>
    <row r="24" spans="1:12" x14ac:dyDescent="0.35">
      <c r="A24" t="s">
        <v>62</v>
      </c>
      <c r="D24" s="4">
        <v>1</v>
      </c>
      <c r="E24" s="4"/>
      <c r="F24" s="4">
        <v>1</v>
      </c>
      <c r="G24" s="4"/>
      <c r="H24" s="4"/>
      <c r="I24" s="4"/>
      <c r="J24" s="4"/>
      <c r="K24" s="4"/>
      <c r="L24" s="4">
        <v>1</v>
      </c>
    </row>
    <row r="25" spans="1:12" x14ac:dyDescent="0.35">
      <c r="A25" t="s">
        <v>44</v>
      </c>
      <c r="D25" s="4">
        <v>17</v>
      </c>
      <c r="E25" s="4">
        <v>23</v>
      </c>
      <c r="F25" s="4">
        <v>40</v>
      </c>
      <c r="G25" s="4">
        <v>12</v>
      </c>
      <c r="H25" s="4">
        <v>18</v>
      </c>
      <c r="I25" s="4">
        <v>30</v>
      </c>
      <c r="J25" s="4"/>
      <c r="K25" s="4"/>
      <c r="L25" s="4">
        <v>70</v>
      </c>
    </row>
    <row r="26" spans="1:12" x14ac:dyDescent="0.35">
      <c r="A26" t="s">
        <v>45</v>
      </c>
      <c r="D26" s="4">
        <v>3</v>
      </c>
      <c r="E26" s="4">
        <v>2.3333333333333335</v>
      </c>
      <c r="F26" s="4">
        <v>2.7142857142857144</v>
      </c>
      <c r="G26" s="4">
        <v>2</v>
      </c>
      <c r="H26" s="4">
        <v>2</v>
      </c>
      <c r="I26" s="4">
        <v>2</v>
      </c>
      <c r="J26" s="4">
        <v>5</v>
      </c>
      <c r="K26" s="4">
        <v>5</v>
      </c>
      <c r="L26" s="4">
        <v>2.6666666666666665</v>
      </c>
    </row>
    <row r="27" spans="1:12" x14ac:dyDescent="0.35">
      <c r="A27" t="s">
        <v>50</v>
      </c>
      <c r="D27" s="4">
        <v>4</v>
      </c>
      <c r="E27" s="4">
        <v>3</v>
      </c>
      <c r="F27" s="4">
        <v>7</v>
      </c>
      <c r="G27" s="4">
        <v>2</v>
      </c>
      <c r="H27" s="4">
        <v>2</v>
      </c>
      <c r="I27" s="4">
        <v>4</v>
      </c>
      <c r="J27" s="4"/>
      <c r="K27" s="4"/>
      <c r="L27" s="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4C06-C29B-474F-AA2D-C31D1BE5E641}">
  <dimension ref="A1:J36"/>
  <sheetViews>
    <sheetView workbookViewId="0"/>
  </sheetViews>
  <sheetFormatPr defaultRowHeight="14.5" x14ac:dyDescent="0.35"/>
  <cols>
    <col min="1" max="1" width="12.6328125" bestFit="1" customWidth="1"/>
    <col min="2" max="2" width="15.6328125" bestFit="1" customWidth="1"/>
    <col min="3" max="4" width="11.81640625" bestFit="1" customWidth="1"/>
    <col min="5" max="5" width="5.7265625" bestFit="1" customWidth="1"/>
    <col min="6" max="6" width="4.54296875" bestFit="1" customWidth="1"/>
    <col min="7" max="7" width="6.36328125" bestFit="1" customWidth="1"/>
    <col min="8" max="8" width="5.90625" bestFit="1" customWidth="1"/>
    <col min="9" max="9" width="6.54296875" bestFit="1" customWidth="1"/>
    <col min="10" max="10" width="11.81640625" bestFit="1" customWidth="1"/>
    <col min="11" max="11" width="8.08984375" bestFit="1" customWidth="1"/>
    <col min="12" max="12" width="8.1796875" bestFit="1" customWidth="1"/>
    <col min="13" max="13" width="6.6328125" bestFit="1" customWidth="1"/>
    <col min="14" max="14" width="8.08984375" bestFit="1" customWidth="1"/>
    <col min="15" max="15" width="8.1796875" bestFit="1" customWidth="1"/>
    <col min="16" max="16" width="6.6328125" bestFit="1" customWidth="1"/>
    <col min="17" max="17" width="9.54296875" bestFit="1" customWidth="1"/>
    <col min="18" max="18" width="9.6328125" bestFit="1" customWidth="1"/>
    <col min="19" max="20" width="8.08984375" bestFit="1" customWidth="1"/>
    <col min="21" max="21" width="8.1796875" bestFit="1" customWidth="1"/>
    <col min="22" max="22" width="6.6328125" bestFit="1" customWidth="1"/>
    <col min="23" max="23" width="9.7265625" bestFit="1" customWidth="1"/>
    <col min="24" max="24" width="9.81640625" bestFit="1" customWidth="1"/>
    <col min="25" max="25" width="8.26953125" bestFit="1" customWidth="1"/>
    <col min="26" max="26" width="12.54296875" bestFit="1" customWidth="1"/>
    <col min="27" max="27" width="12.6328125" bestFit="1" customWidth="1"/>
    <col min="28" max="28" width="11.08984375" bestFit="1" customWidth="1"/>
  </cols>
  <sheetData>
    <row r="1" spans="1:10" x14ac:dyDescent="0.35">
      <c r="B1" s="1" t="s">
        <v>25</v>
      </c>
    </row>
    <row r="2" spans="1:10" x14ac:dyDescent="0.35">
      <c r="B2" t="s">
        <v>8</v>
      </c>
      <c r="D2" t="s">
        <v>26</v>
      </c>
      <c r="E2" t="s">
        <v>11</v>
      </c>
      <c r="G2" t="s">
        <v>27</v>
      </c>
      <c r="H2" t="s">
        <v>15</v>
      </c>
      <c r="I2" t="s">
        <v>28</v>
      </c>
      <c r="J2" t="s">
        <v>19</v>
      </c>
    </row>
    <row r="3" spans="1:10" x14ac:dyDescent="0.35">
      <c r="A3" s="1" t="s">
        <v>18</v>
      </c>
      <c r="B3" t="s">
        <v>9</v>
      </c>
      <c r="C3" t="s">
        <v>12</v>
      </c>
      <c r="E3" t="s">
        <v>9</v>
      </c>
      <c r="F3" t="s">
        <v>12</v>
      </c>
      <c r="H3" t="s">
        <v>16</v>
      </c>
    </row>
    <row r="4" spans="1:10" x14ac:dyDescent="0.35">
      <c r="A4" s="2" t="s">
        <v>20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5">
      <c r="A5" s="3" t="s">
        <v>6</v>
      </c>
      <c r="B5" s="4">
        <v>13</v>
      </c>
      <c r="C5" s="4">
        <v>0</v>
      </c>
      <c r="D5" s="4">
        <v>13</v>
      </c>
      <c r="E5" s="4">
        <v>5</v>
      </c>
      <c r="F5" s="4">
        <v>-2</v>
      </c>
      <c r="G5" s="4">
        <v>3</v>
      </c>
      <c r="H5" s="4"/>
      <c r="I5" s="4"/>
      <c r="J5" s="4">
        <v>16</v>
      </c>
    </row>
    <row r="6" spans="1:10" x14ac:dyDescent="0.35">
      <c r="A6" s="5" t="s">
        <v>7</v>
      </c>
      <c r="B6" s="4">
        <v>13</v>
      </c>
      <c r="C6" s="4"/>
      <c r="D6" s="4">
        <v>13</v>
      </c>
      <c r="E6" s="4"/>
      <c r="F6" s="4">
        <v>-2</v>
      </c>
      <c r="G6" s="4">
        <v>-2</v>
      </c>
      <c r="H6" s="4"/>
      <c r="I6" s="4"/>
      <c r="J6" s="4">
        <v>11</v>
      </c>
    </row>
    <row r="7" spans="1:10" x14ac:dyDescent="0.35">
      <c r="A7" s="5" t="s">
        <v>13</v>
      </c>
      <c r="B7" s="4"/>
      <c r="C7" s="4">
        <v>0</v>
      </c>
      <c r="D7" s="4">
        <v>0</v>
      </c>
      <c r="E7" s="4">
        <v>5</v>
      </c>
      <c r="F7" s="4"/>
      <c r="G7" s="4">
        <v>5</v>
      </c>
      <c r="H7" s="4"/>
      <c r="I7" s="4"/>
      <c r="J7" s="4">
        <v>5</v>
      </c>
    </row>
    <row r="8" spans="1:10" x14ac:dyDescent="0.35">
      <c r="A8" s="3" t="s">
        <v>10</v>
      </c>
      <c r="B8" s="4">
        <v>0</v>
      </c>
      <c r="C8" s="4">
        <v>23</v>
      </c>
      <c r="D8" s="4">
        <v>23</v>
      </c>
      <c r="E8" s="4">
        <v>7</v>
      </c>
      <c r="F8" s="4">
        <v>20</v>
      </c>
      <c r="G8" s="4">
        <v>27</v>
      </c>
      <c r="H8" s="4"/>
      <c r="I8" s="4"/>
      <c r="J8" s="4">
        <v>50</v>
      </c>
    </row>
    <row r="9" spans="1:10" x14ac:dyDescent="0.35">
      <c r="A9" s="5" t="s">
        <v>7</v>
      </c>
      <c r="B9" s="4">
        <v>0</v>
      </c>
      <c r="C9" s="4">
        <v>8</v>
      </c>
      <c r="D9" s="4">
        <v>8</v>
      </c>
      <c r="E9" s="4"/>
      <c r="F9" s="4">
        <v>20</v>
      </c>
      <c r="G9" s="4">
        <v>20</v>
      </c>
      <c r="H9" s="4"/>
      <c r="I9" s="4"/>
      <c r="J9" s="4">
        <v>28</v>
      </c>
    </row>
    <row r="10" spans="1:10" x14ac:dyDescent="0.35">
      <c r="A10" s="5" t="s">
        <v>13</v>
      </c>
      <c r="B10" s="4"/>
      <c r="C10" s="4">
        <v>15</v>
      </c>
      <c r="D10" s="4">
        <v>15</v>
      </c>
      <c r="E10" s="4">
        <v>7</v>
      </c>
      <c r="F10" s="4"/>
      <c r="G10" s="4">
        <v>7</v>
      </c>
      <c r="H10" s="4"/>
      <c r="I10" s="4"/>
      <c r="J10" s="4">
        <v>22</v>
      </c>
    </row>
    <row r="11" spans="1:10" x14ac:dyDescent="0.35">
      <c r="A11" s="3" t="s">
        <v>13</v>
      </c>
      <c r="B11" s="4">
        <v>4</v>
      </c>
      <c r="C11" s="4"/>
      <c r="D11" s="4">
        <v>4</v>
      </c>
      <c r="E11" s="4"/>
      <c r="F11" s="4"/>
      <c r="G11" s="4"/>
      <c r="H11" s="4"/>
      <c r="I11" s="4"/>
      <c r="J11" s="4">
        <v>4</v>
      </c>
    </row>
    <row r="12" spans="1:10" x14ac:dyDescent="0.35">
      <c r="A12" s="5" t="s">
        <v>7</v>
      </c>
      <c r="B12" s="4">
        <v>4</v>
      </c>
      <c r="C12" s="4"/>
      <c r="D12" s="4">
        <v>4</v>
      </c>
      <c r="E12" s="4"/>
      <c r="F12" s="4"/>
      <c r="G12" s="4"/>
      <c r="H12" s="4"/>
      <c r="I12" s="4"/>
      <c r="J12" s="4">
        <v>4</v>
      </c>
    </row>
    <row r="13" spans="1:10" x14ac:dyDescent="0.35">
      <c r="A13" s="5" t="s">
        <v>14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5">
      <c r="A14" s="2" t="s">
        <v>46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5">
      <c r="A15" s="3" t="s">
        <v>6</v>
      </c>
      <c r="B15" s="4">
        <v>4</v>
      </c>
      <c r="C15" s="4">
        <v>1</v>
      </c>
      <c r="D15" s="4">
        <v>3</v>
      </c>
      <c r="E15" s="4">
        <v>1</v>
      </c>
      <c r="F15" s="4">
        <v>1</v>
      </c>
      <c r="G15" s="4">
        <v>1</v>
      </c>
      <c r="H15" s="4"/>
      <c r="I15" s="4"/>
      <c r="J15" s="4">
        <v>2.2000000000000002</v>
      </c>
    </row>
    <row r="16" spans="1:10" x14ac:dyDescent="0.35">
      <c r="A16" s="5" t="s">
        <v>7</v>
      </c>
      <c r="B16" s="4">
        <v>4</v>
      </c>
      <c r="C16" s="4"/>
      <c r="D16" s="4">
        <v>4</v>
      </c>
      <c r="E16" s="4"/>
      <c r="F16" s="4">
        <v>1</v>
      </c>
      <c r="G16" s="4">
        <v>1</v>
      </c>
      <c r="H16" s="4"/>
      <c r="I16" s="4"/>
      <c r="J16" s="4">
        <v>3</v>
      </c>
    </row>
    <row r="17" spans="1:10" x14ac:dyDescent="0.35">
      <c r="A17" s="5" t="s">
        <v>13</v>
      </c>
      <c r="B17" s="4"/>
      <c r="C17" s="4">
        <v>1</v>
      </c>
      <c r="D17" s="4">
        <v>1</v>
      </c>
      <c r="E17" s="4">
        <v>1</v>
      </c>
      <c r="F17" s="4"/>
      <c r="G17" s="4">
        <v>1</v>
      </c>
      <c r="H17" s="4"/>
      <c r="I17" s="4"/>
      <c r="J17" s="4">
        <v>1</v>
      </c>
    </row>
    <row r="18" spans="1:10" x14ac:dyDescent="0.35">
      <c r="A18" s="3" t="s">
        <v>10</v>
      </c>
      <c r="B18" s="4">
        <v>2</v>
      </c>
      <c r="C18" s="4">
        <v>3</v>
      </c>
      <c r="D18" s="4">
        <v>2.6666666666666665</v>
      </c>
      <c r="E18" s="4">
        <v>3</v>
      </c>
      <c r="F18" s="4">
        <v>3</v>
      </c>
      <c r="G18" s="4">
        <v>3</v>
      </c>
      <c r="H18" s="4"/>
      <c r="I18" s="4"/>
      <c r="J18" s="4">
        <v>2.8</v>
      </c>
    </row>
    <row r="19" spans="1:10" x14ac:dyDescent="0.35">
      <c r="A19" s="5" t="s">
        <v>7</v>
      </c>
      <c r="B19" s="4">
        <v>2</v>
      </c>
      <c r="C19" s="4">
        <v>2</v>
      </c>
      <c r="D19" s="4">
        <v>2</v>
      </c>
      <c r="E19" s="4"/>
      <c r="F19" s="4">
        <v>3</v>
      </c>
      <c r="G19" s="4">
        <v>3</v>
      </c>
      <c r="H19" s="4"/>
      <c r="I19" s="4"/>
      <c r="J19" s="4">
        <v>2.3333333333333335</v>
      </c>
    </row>
    <row r="20" spans="1:10" x14ac:dyDescent="0.35">
      <c r="A20" s="5" t="s">
        <v>13</v>
      </c>
      <c r="B20" s="4"/>
      <c r="C20" s="4">
        <v>4</v>
      </c>
      <c r="D20" s="4">
        <v>4</v>
      </c>
      <c r="E20" s="4">
        <v>3</v>
      </c>
      <c r="F20" s="4"/>
      <c r="G20" s="4">
        <v>3</v>
      </c>
      <c r="H20" s="4"/>
      <c r="I20" s="4"/>
      <c r="J20" s="4">
        <v>3.5</v>
      </c>
    </row>
    <row r="21" spans="1:10" x14ac:dyDescent="0.35">
      <c r="A21" s="3" t="s">
        <v>13</v>
      </c>
      <c r="B21" s="4">
        <v>2</v>
      </c>
      <c r="C21" s="4"/>
      <c r="D21" s="4">
        <v>2</v>
      </c>
      <c r="E21" s="4"/>
      <c r="F21" s="4"/>
      <c r="G21" s="4"/>
      <c r="H21" s="4">
        <v>5</v>
      </c>
      <c r="I21" s="4">
        <v>5</v>
      </c>
      <c r="J21" s="4">
        <v>3.5</v>
      </c>
    </row>
    <row r="22" spans="1:10" x14ac:dyDescent="0.35">
      <c r="A22" s="5" t="s">
        <v>7</v>
      </c>
      <c r="B22" s="4">
        <v>2</v>
      </c>
      <c r="C22" s="4"/>
      <c r="D22" s="4">
        <v>2</v>
      </c>
      <c r="E22" s="4"/>
      <c r="F22" s="4"/>
      <c r="G22" s="4"/>
      <c r="H22" s="4"/>
      <c r="I22" s="4"/>
      <c r="J22" s="4">
        <v>2</v>
      </c>
    </row>
    <row r="23" spans="1:10" x14ac:dyDescent="0.35">
      <c r="A23" s="5" t="s">
        <v>14</v>
      </c>
      <c r="B23" s="4"/>
      <c r="C23" s="4"/>
      <c r="D23" s="4"/>
      <c r="E23" s="4"/>
      <c r="F23" s="4"/>
      <c r="G23" s="4"/>
      <c r="H23" s="4">
        <v>5</v>
      </c>
      <c r="I23" s="4">
        <v>5</v>
      </c>
      <c r="J23" s="4">
        <v>5</v>
      </c>
    </row>
    <row r="24" spans="1:10" x14ac:dyDescent="0.35">
      <c r="A24" s="2" t="s">
        <v>51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3" t="s">
        <v>6</v>
      </c>
      <c r="B25" s="4">
        <v>2</v>
      </c>
      <c r="C25" s="4">
        <v>1</v>
      </c>
      <c r="D25" s="4">
        <v>3</v>
      </c>
      <c r="E25" s="4">
        <v>1</v>
      </c>
      <c r="F25" s="4">
        <v>1</v>
      </c>
      <c r="G25" s="4">
        <v>2</v>
      </c>
      <c r="H25" s="4"/>
      <c r="I25" s="4"/>
      <c r="J25" s="4">
        <v>5</v>
      </c>
    </row>
    <row r="26" spans="1:10" x14ac:dyDescent="0.35">
      <c r="A26" s="5" t="s">
        <v>7</v>
      </c>
      <c r="B26" s="4">
        <v>2</v>
      </c>
      <c r="C26" s="4"/>
      <c r="D26" s="4">
        <v>2</v>
      </c>
      <c r="E26" s="4"/>
      <c r="F26" s="4">
        <v>1</v>
      </c>
      <c r="G26" s="4">
        <v>1</v>
      </c>
      <c r="H26" s="4"/>
      <c r="I26" s="4"/>
      <c r="J26" s="4">
        <v>3</v>
      </c>
    </row>
    <row r="27" spans="1:10" x14ac:dyDescent="0.35">
      <c r="A27" s="5" t="s">
        <v>13</v>
      </c>
      <c r="B27" s="4"/>
      <c r="C27" s="4">
        <v>1</v>
      </c>
      <c r="D27" s="4">
        <v>1</v>
      </c>
      <c r="E27" s="4">
        <v>1</v>
      </c>
      <c r="F27" s="4"/>
      <c r="G27" s="4">
        <v>1</v>
      </c>
      <c r="H27" s="4"/>
      <c r="I27" s="4"/>
      <c r="J27" s="4">
        <v>2</v>
      </c>
    </row>
    <row r="28" spans="1:10" x14ac:dyDescent="0.35">
      <c r="A28" s="3" t="s">
        <v>10</v>
      </c>
      <c r="B28" s="4">
        <v>1</v>
      </c>
      <c r="C28" s="4">
        <v>2</v>
      </c>
      <c r="D28" s="4">
        <v>3</v>
      </c>
      <c r="E28" s="4">
        <v>1</v>
      </c>
      <c r="F28" s="4">
        <v>1</v>
      </c>
      <c r="G28" s="4">
        <v>2</v>
      </c>
      <c r="H28" s="4"/>
      <c r="I28" s="4"/>
      <c r="J28" s="4">
        <v>5</v>
      </c>
    </row>
    <row r="29" spans="1:10" x14ac:dyDescent="0.35">
      <c r="A29" s="5" t="s">
        <v>7</v>
      </c>
      <c r="B29" s="4">
        <v>1</v>
      </c>
      <c r="C29" s="4">
        <v>1</v>
      </c>
      <c r="D29" s="4">
        <v>2</v>
      </c>
      <c r="E29" s="4"/>
      <c r="F29" s="4">
        <v>1</v>
      </c>
      <c r="G29" s="4">
        <v>1</v>
      </c>
      <c r="H29" s="4"/>
      <c r="I29" s="4"/>
      <c r="J29" s="4">
        <v>3</v>
      </c>
    </row>
    <row r="30" spans="1:10" x14ac:dyDescent="0.35">
      <c r="A30" s="5" t="s">
        <v>13</v>
      </c>
      <c r="B30" s="4"/>
      <c r="C30" s="4">
        <v>1</v>
      </c>
      <c r="D30" s="4">
        <v>1</v>
      </c>
      <c r="E30" s="4">
        <v>1</v>
      </c>
      <c r="F30" s="4"/>
      <c r="G30" s="4">
        <v>1</v>
      </c>
      <c r="H30" s="4"/>
      <c r="I30" s="4"/>
      <c r="J30" s="4">
        <v>2</v>
      </c>
    </row>
    <row r="31" spans="1:10" x14ac:dyDescent="0.35">
      <c r="A31" s="3" t="s">
        <v>13</v>
      </c>
      <c r="B31" s="4">
        <v>1</v>
      </c>
      <c r="C31" s="4"/>
      <c r="D31" s="4">
        <v>1</v>
      </c>
      <c r="E31" s="4"/>
      <c r="F31" s="4"/>
      <c r="G31" s="4"/>
      <c r="H31" s="4"/>
      <c r="I31" s="4"/>
      <c r="J31" s="4">
        <v>1</v>
      </c>
    </row>
    <row r="32" spans="1:10" x14ac:dyDescent="0.35">
      <c r="A32" s="5" t="s">
        <v>7</v>
      </c>
      <c r="B32" s="4">
        <v>1</v>
      </c>
      <c r="C32" s="4"/>
      <c r="D32" s="4">
        <v>1</v>
      </c>
      <c r="E32" s="4"/>
      <c r="F32" s="4"/>
      <c r="G32" s="4"/>
      <c r="H32" s="4"/>
      <c r="I32" s="4"/>
      <c r="J32" s="4">
        <v>1</v>
      </c>
    </row>
    <row r="33" spans="1:10" x14ac:dyDescent="0.35">
      <c r="A33" s="5" t="s">
        <v>14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5">
      <c r="A34" s="2" t="s">
        <v>44</v>
      </c>
      <c r="B34" s="4">
        <v>17</v>
      </c>
      <c r="C34" s="4">
        <v>23</v>
      </c>
      <c r="D34" s="4">
        <v>40</v>
      </c>
      <c r="E34" s="4">
        <v>12</v>
      </c>
      <c r="F34" s="4">
        <v>18</v>
      </c>
      <c r="G34" s="4">
        <v>30</v>
      </c>
      <c r="H34" s="4"/>
      <c r="I34" s="4"/>
      <c r="J34" s="4">
        <v>70</v>
      </c>
    </row>
    <row r="35" spans="1:10" x14ac:dyDescent="0.35">
      <c r="A35" s="2" t="s">
        <v>45</v>
      </c>
      <c r="B35" s="4">
        <v>3</v>
      </c>
      <c r="C35" s="4">
        <v>2.3333333333333335</v>
      </c>
      <c r="D35" s="4">
        <v>2.7142857142857144</v>
      </c>
      <c r="E35" s="4">
        <v>2</v>
      </c>
      <c r="F35" s="4">
        <v>2</v>
      </c>
      <c r="G35" s="4">
        <v>2</v>
      </c>
      <c r="H35" s="4">
        <v>5</v>
      </c>
      <c r="I35" s="4">
        <v>5</v>
      </c>
      <c r="J35" s="4">
        <v>2.6666666666666665</v>
      </c>
    </row>
    <row r="36" spans="1:10" x14ac:dyDescent="0.35">
      <c r="A36" s="2" t="s">
        <v>50</v>
      </c>
      <c r="B36" s="4">
        <v>4</v>
      </c>
      <c r="C36" s="4">
        <v>3</v>
      </c>
      <c r="D36" s="4">
        <v>7</v>
      </c>
      <c r="E36" s="4">
        <v>2</v>
      </c>
      <c r="F36" s="4">
        <v>2</v>
      </c>
      <c r="G36" s="4">
        <v>4</v>
      </c>
      <c r="H36" s="4"/>
      <c r="I36" s="4"/>
      <c r="J36" s="4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4AE7-E32D-4D3D-AD1A-FF3F8BBE97FD}">
  <dimension ref="A1:K11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4" width="10.1796875" bestFit="1" customWidth="1"/>
    <col min="5" max="5" width="6.36328125" bestFit="1" customWidth="1"/>
    <col min="6" max="7" width="5.7265625" bestFit="1" customWidth="1"/>
    <col min="8" max="8" width="6.36328125" bestFit="1" customWidth="1"/>
    <col min="9" max="9" width="5.90625" bestFit="1" customWidth="1"/>
    <col min="10" max="10" width="6.54296875" bestFit="1" customWidth="1"/>
    <col min="11" max="11" width="10.36328125" bestFit="1" customWidth="1"/>
  </cols>
  <sheetData>
    <row r="1" spans="1:11" x14ac:dyDescent="0.35">
      <c r="A1" s="1" t="s">
        <v>20</v>
      </c>
      <c r="C1" s="1" t="s">
        <v>2</v>
      </c>
      <c r="D1" s="1" t="s">
        <v>3</v>
      </c>
    </row>
    <row r="2" spans="1:11" x14ac:dyDescent="0.35">
      <c r="C2" t="s">
        <v>8</v>
      </c>
      <c r="E2" t="s">
        <v>26</v>
      </c>
      <c r="F2" t="s">
        <v>11</v>
      </c>
      <c r="H2" t="s">
        <v>27</v>
      </c>
      <c r="I2" t="s">
        <v>15</v>
      </c>
      <c r="J2" t="s">
        <v>28</v>
      </c>
      <c r="K2" t="s">
        <v>19</v>
      </c>
    </row>
    <row r="3" spans="1:11" x14ac:dyDescent="0.35">
      <c r="A3" s="1" t="s">
        <v>0</v>
      </c>
      <c r="B3" s="1" t="s">
        <v>1</v>
      </c>
      <c r="C3" t="s">
        <v>9</v>
      </c>
      <c r="D3" t="s">
        <v>12</v>
      </c>
      <c r="F3" t="s">
        <v>9</v>
      </c>
      <c r="G3" t="s">
        <v>12</v>
      </c>
      <c r="I3" t="s">
        <v>16</v>
      </c>
    </row>
    <row r="4" spans="1:11" x14ac:dyDescent="0.35">
      <c r="A4" t="s">
        <v>6</v>
      </c>
      <c r="C4" s="4">
        <v>13</v>
      </c>
      <c r="D4" s="4">
        <v>0</v>
      </c>
      <c r="E4" s="4">
        <v>13</v>
      </c>
      <c r="F4" s="4">
        <v>5</v>
      </c>
      <c r="G4" s="4">
        <v>-2</v>
      </c>
      <c r="H4" s="4">
        <v>3</v>
      </c>
      <c r="I4" s="4"/>
      <c r="J4" s="4"/>
      <c r="K4" s="4">
        <v>16</v>
      </c>
    </row>
    <row r="5" spans="1:11" x14ac:dyDescent="0.35">
      <c r="A5" t="s">
        <v>10</v>
      </c>
      <c r="B5" t="s">
        <v>7</v>
      </c>
      <c r="C5" s="4">
        <v>0</v>
      </c>
      <c r="D5" s="4">
        <v>8</v>
      </c>
      <c r="E5" s="4">
        <v>8</v>
      </c>
      <c r="F5" s="4"/>
      <c r="G5" s="4">
        <v>20</v>
      </c>
      <c r="H5" s="4">
        <v>20</v>
      </c>
      <c r="I5" s="4"/>
      <c r="J5" s="4"/>
      <c r="K5" s="4">
        <v>28</v>
      </c>
    </row>
    <row r="6" spans="1:11" x14ac:dyDescent="0.35">
      <c r="B6" t="s">
        <v>13</v>
      </c>
      <c r="C6" s="4"/>
      <c r="D6" s="4">
        <v>15</v>
      </c>
      <c r="E6" s="4">
        <v>15</v>
      </c>
      <c r="F6" s="4">
        <v>7</v>
      </c>
      <c r="G6" s="4"/>
      <c r="H6" s="4">
        <v>7</v>
      </c>
      <c r="I6" s="4"/>
      <c r="J6" s="4"/>
      <c r="K6" s="4">
        <v>22</v>
      </c>
    </row>
    <row r="7" spans="1:11" x14ac:dyDescent="0.35">
      <c r="A7" t="s">
        <v>22</v>
      </c>
      <c r="C7" s="4">
        <v>0</v>
      </c>
      <c r="D7" s="4">
        <v>23</v>
      </c>
      <c r="E7" s="4">
        <v>23</v>
      </c>
      <c r="F7" s="4">
        <v>7</v>
      </c>
      <c r="G7" s="4">
        <v>20</v>
      </c>
      <c r="H7" s="4">
        <v>27</v>
      </c>
      <c r="I7" s="4"/>
      <c r="J7" s="4"/>
      <c r="K7" s="4">
        <v>50</v>
      </c>
    </row>
    <row r="8" spans="1:11" x14ac:dyDescent="0.35">
      <c r="A8" t="s">
        <v>13</v>
      </c>
      <c r="B8" t="s">
        <v>7</v>
      </c>
      <c r="C8" s="4">
        <v>4</v>
      </c>
      <c r="D8" s="4"/>
      <c r="E8" s="4">
        <v>4</v>
      </c>
      <c r="F8" s="4"/>
      <c r="G8" s="4"/>
      <c r="H8" s="4"/>
      <c r="I8" s="4"/>
      <c r="J8" s="4"/>
      <c r="K8" s="4">
        <v>4</v>
      </c>
    </row>
    <row r="9" spans="1:11" x14ac:dyDescent="0.35">
      <c r="B9" t="s">
        <v>14</v>
      </c>
      <c r="C9" s="4"/>
      <c r="D9" s="4"/>
      <c r="E9" s="4"/>
      <c r="F9" s="4"/>
      <c r="G9" s="4"/>
      <c r="H9" s="4"/>
      <c r="I9" s="4"/>
      <c r="J9" s="4"/>
      <c r="K9" s="4"/>
    </row>
    <row r="10" spans="1:11" x14ac:dyDescent="0.35">
      <c r="A10" t="s">
        <v>23</v>
      </c>
      <c r="C10" s="4">
        <v>4</v>
      </c>
      <c r="D10" s="4"/>
      <c r="E10" s="4">
        <v>4</v>
      </c>
      <c r="F10" s="4"/>
      <c r="G10" s="4"/>
      <c r="H10" s="4"/>
      <c r="I10" s="4"/>
      <c r="J10" s="4"/>
      <c r="K10" s="4">
        <v>4</v>
      </c>
    </row>
    <row r="11" spans="1:11" x14ac:dyDescent="0.35">
      <c r="A11" t="s">
        <v>19</v>
      </c>
      <c r="C11" s="4">
        <v>17</v>
      </c>
      <c r="D11" s="4">
        <v>23</v>
      </c>
      <c r="E11" s="4">
        <v>40</v>
      </c>
      <c r="F11" s="4">
        <v>12</v>
      </c>
      <c r="G11" s="4">
        <v>18</v>
      </c>
      <c r="H11" s="4">
        <v>30</v>
      </c>
      <c r="I11" s="4"/>
      <c r="J11" s="4"/>
      <c r="K11" s="4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1221-D558-44C1-92F5-ABB12B3C5957}">
  <dimension ref="A1:D21"/>
  <sheetViews>
    <sheetView workbookViewId="0"/>
  </sheetViews>
  <sheetFormatPr defaultRowHeight="14.5" x14ac:dyDescent="0.35"/>
  <cols>
    <col min="1" max="1" width="12.453125" bestFit="1" customWidth="1"/>
    <col min="2" max="2" width="8.08984375" bestFit="1" customWidth="1"/>
    <col min="3" max="3" width="9.6328125" bestFit="1" customWidth="1"/>
    <col min="4" max="4" width="8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t="s">
        <v>20</v>
      </c>
    </row>
    <row r="2" spans="1:4" x14ac:dyDescent="0.35">
      <c r="A2" t="s">
        <v>6</v>
      </c>
      <c r="D2" s="4">
        <v>16</v>
      </c>
    </row>
    <row r="3" spans="1:4" x14ac:dyDescent="0.35">
      <c r="B3" t="s">
        <v>7</v>
      </c>
      <c r="D3" s="4">
        <v>11</v>
      </c>
    </row>
    <row r="4" spans="1:4" x14ac:dyDescent="0.35">
      <c r="C4" t="s">
        <v>8</v>
      </c>
      <c r="D4" s="4">
        <v>13</v>
      </c>
    </row>
    <row r="5" spans="1:4" x14ac:dyDescent="0.35">
      <c r="C5" t="s">
        <v>11</v>
      </c>
      <c r="D5" s="4">
        <v>-2</v>
      </c>
    </row>
    <row r="6" spans="1:4" x14ac:dyDescent="0.35">
      <c r="B6" t="s">
        <v>13</v>
      </c>
      <c r="D6" s="4">
        <v>5</v>
      </c>
    </row>
    <row r="7" spans="1:4" x14ac:dyDescent="0.35">
      <c r="C7" t="s">
        <v>8</v>
      </c>
      <c r="D7" s="4">
        <v>0</v>
      </c>
    </row>
    <row r="8" spans="1:4" x14ac:dyDescent="0.35">
      <c r="C8" t="s">
        <v>11</v>
      </c>
      <c r="D8" s="4">
        <v>5</v>
      </c>
    </row>
    <row r="9" spans="1:4" x14ac:dyDescent="0.35">
      <c r="A9" t="s">
        <v>10</v>
      </c>
      <c r="D9" s="4">
        <v>50</v>
      </c>
    </row>
    <row r="10" spans="1:4" x14ac:dyDescent="0.35">
      <c r="B10" t="s">
        <v>7</v>
      </c>
      <c r="D10" s="4">
        <v>28</v>
      </c>
    </row>
    <row r="11" spans="1:4" x14ac:dyDescent="0.35">
      <c r="C11" t="s">
        <v>8</v>
      </c>
      <c r="D11" s="4">
        <v>8</v>
      </c>
    </row>
    <row r="12" spans="1:4" x14ac:dyDescent="0.35">
      <c r="C12" t="s">
        <v>11</v>
      </c>
      <c r="D12" s="4">
        <v>20</v>
      </c>
    </row>
    <row r="13" spans="1:4" x14ac:dyDescent="0.35">
      <c r="B13" t="s">
        <v>13</v>
      </c>
      <c r="D13" s="4">
        <v>22</v>
      </c>
    </row>
    <row r="14" spans="1:4" x14ac:dyDescent="0.35">
      <c r="C14" t="s">
        <v>8</v>
      </c>
      <c r="D14" s="4">
        <v>15</v>
      </c>
    </row>
    <row r="15" spans="1:4" x14ac:dyDescent="0.35">
      <c r="C15" t="s">
        <v>11</v>
      </c>
      <c r="D15" s="4">
        <v>7</v>
      </c>
    </row>
    <row r="16" spans="1:4" x14ac:dyDescent="0.35">
      <c r="A16" t="s">
        <v>13</v>
      </c>
      <c r="D16" s="4">
        <v>4</v>
      </c>
    </row>
    <row r="17" spans="1:4" x14ac:dyDescent="0.35">
      <c r="B17" t="s">
        <v>7</v>
      </c>
      <c r="D17" s="4">
        <v>4</v>
      </c>
    </row>
    <row r="18" spans="1:4" x14ac:dyDescent="0.35">
      <c r="C18" t="s">
        <v>8</v>
      </c>
      <c r="D18" s="4">
        <v>4</v>
      </c>
    </row>
    <row r="19" spans="1:4" x14ac:dyDescent="0.35">
      <c r="B19" t="s">
        <v>14</v>
      </c>
      <c r="D19" s="4"/>
    </row>
    <row r="20" spans="1:4" x14ac:dyDescent="0.35">
      <c r="C20" t="s">
        <v>15</v>
      </c>
      <c r="D20" s="4"/>
    </row>
    <row r="21" spans="1:4" x14ac:dyDescent="0.35">
      <c r="A21" t="s">
        <v>19</v>
      </c>
      <c r="D21" s="4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FBEA-D87D-4DC8-BACF-D66B241AEFF3}">
  <dimension ref="A1:AC14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4" width="9.6328125" bestFit="1" customWidth="1"/>
    <col min="5" max="5" width="10.1796875" bestFit="1" customWidth="1"/>
    <col min="6" max="7" width="5.7265625" bestFit="1" customWidth="1"/>
    <col min="8" max="8" width="6.36328125" bestFit="1" customWidth="1"/>
    <col min="9" max="9" width="5.90625" bestFit="1" customWidth="1"/>
    <col min="10" max="10" width="6.54296875" bestFit="1" customWidth="1"/>
    <col min="11" max="13" width="11.81640625" bestFit="1" customWidth="1"/>
    <col min="14" max="15" width="5.7265625" bestFit="1" customWidth="1"/>
    <col min="16" max="16" width="6.36328125" bestFit="1" customWidth="1"/>
    <col min="17" max="17" width="5.90625" bestFit="1" customWidth="1"/>
    <col min="18" max="18" width="6.54296875" bestFit="1" customWidth="1"/>
    <col min="19" max="20" width="6.6328125" bestFit="1" customWidth="1"/>
    <col min="21" max="21" width="6.36328125" bestFit="1" customWidth="1"/>
    <col min="22" max="23" width="5.7265625" bestFit="1" customWidth="1"/>
    <col min="24" max="24" width="6.36328125" bestFit="1" customWidth="1"/>
    <col min="25" max="25" width="5.90625" bestFit="1" customWidth="1"/>
    <col min="26" max="26" width="6.54296875" bestFit="1" customWidth="1"/>
    <col min="27" max="27" width="12.54296875" bestFit="1" customWidth="1"/>
    <col min="28" max="28" width="12.6328125" bestFit="1" customWidth="1"/>
    <col min="29" max="29" width="11.08984375" bestFit="1" customWidth="1"/>
  </cols>
  <sheetData>
    <row r="1" spans="1:29" x14ac:dyDescent="0.35">
      <c r="C1" s="1" t="s">
        <v>52</v>
      </c>
      <c r="D1" s="1" t="s">
        <v>2</v>
      </c>
      <c r="E1" s="1" t="s">
        <v>3</v>
      </c>
    </row>
    <row r="2" spans="1:29" x14ac:dyDescent="0.35">
      <c r="C2" t="s">
        <v>20</v>
      </c>
      <c r="K2" t="s">
        <v>46</v>
      </c>
      <c r="S2" t="s">
        <v>51</v>
      </c>
      <c r="AA2" t="s">
        <v>44</v>
      </c>
      <c r="AB2" t="s">
        <v>45</v>
      </c>
      <c r="AC2" t="s">
        <v>50</v>
      </c>
    </row>
    <row r="3" spans="1:29" x14ac:dyDescent="0.35">
      <c r="C3" t="s">
        <v>8</v>
      </c>
      <c r="E3" t="s">
        <v>26</v>
      </c>
      <c r="F3" t="s">
        <v>11</v>
      </c>
      <c r="H3" t="s">
        <v>27</v>
      </c>
      <c r="I3" t="s">
        <v>15</v>
      </c>
      <c r="J3" t="s">
        <v>28</v>
      </c>
      <c r="K3" t="s">
        <v>8</v>
      </c>
      <c r="M3" t="s">
        <v>26</v>
      </c>
      <c r="N3" t="s">
        <v>11</v>
      </c>
      <c r="P3" t="s">
        <v>27</v>
      </c>
      <c r="Q3" t="s">
        <v>15</v>
      </c>
      <c r="R3" t="s">
        <v>28</v>
      </c>
      <c r="S3" t="s">
        <v>8</v>
      </c>
      <c r="U3" t="s">
        <v>26</v>
      </c>
      <c r="V3" t="s">
        <v>11</v>
      </c>
      <c r="X3" t="s">
        <v>27</v>
      </c>
      <c r="Y3" t="s">
        <v>15</v>
      </c>
      <c r="Z3" t="s">
        <v>28</v>
      </c>
    </row>
    <row r="4" spans="1:29" x14ac:dyDescent="0.35">
      <c r="A4" s="1" t="s">
        <v>0</v>
      </c>
      <c r="B4" s="1" t="s">
        <v>1</v>
      </c>
      <c r="C4" t="s">
        <v>9</v>
      </c>
      <c r="D4" t="s">
        <v>12</v>
      </c>
      <c r="F4" t="s">
        <v>9</v>
      </c>
      <c r="G4" t="s">
        <v>12</v>
      </c>
      <c r="I4" t="s">
        <v>16</v>
      </c>
      <c r="K4" t="s">
        <v>9</v>
      </c>
      <c r="L4" t="s">
        <v>12</v>
      </c>
      <c r="N4" t="s">
        <v>9</v>
      </c>
      <c r="O4" t="s">
        <v>12</v>
      </c>
      <c r="Q4" t="s">
        <v>16</v>
      </c>
      <c r="S4" t="s">
        <v>9</v>
      </c>
      <c r="T4" t="s">
        <v>12</v>
      </c>
      <c r="V4" t="s">
        <v>9</v>
      </c>
      <c r="W4" t="s">
        <v>12</v>
      </c>
      <c r="Y4" t="s">
        <v>16</v>
      </c>
    </row>
    <row r="5" spans="1:29" x14ac:dyDescent="0.35">
      <c r="A5" t="s">
        <v>6</v>
      </c>
      <c r="C5" s="4">
        <v>13</v>
      </c>
      <c r="D5" s="4">
        <v>0</v>
      </c>
      <c r="E5" s="4">
        <v>13</v>
      </c>
      <c r="F5" s="4">
        <v>5</v>
      </c>
      <c r="G5" s="4">
        <v>-2</v>
      </c>
      <c r="H5" s="4">
        <v>3</v>
      </c>
      <c r="I5" s="4"/>
      <c r="J5" s="4"/>
      <c r="K5" s="4">
        <v>4</v>
      </c>
      <c r="L5" s="4">
        <v>1</v>
      </c>
      <c r="M5" s="4">
        <v>3</v>
      </c>
      <c r="N5" s="4">
        <v>1</v>
      </c>
      <c r="O5" s="4">
        <v>1</v>
      </c>
      <c r="P5" s="4">
        <v>1</v>
      </c>
      <c r="Q5" s="4"/>
      <c r="R5" s="4"/>
      <c r="S5" s="4">
        <v>2</v>
      </c>
      <c r="T5" s="4">
        <v>1</v>
      </c>
      <c r="U5" s="4">
        <v>3</v>
      </c>
      <c r="V5" s="4">
        <v>1</v>
      </c>
      <c r="W5" s="4">
        <v>1</v>
      </c>
      <c r="X5" s="4">
        <v>2</v>
      </c>
      <c r="Y5" s="4"/>
      <c r="Z5" s="4"/>
      <c r="AA5" s="4">
        <v>16</v>
      </c>
      <c r="AB5" s="4">
        <v>2.2000000000000002</v>
      </c>
      <c r="AC5" s="4">
        <v>5</v>
      </c>
    </row>
    <row r="6" spans="1:29" x14ac:dyDescent="0.35">
      <c r="B6" t="s">
        <v>7</v>
      </c>
      <c r="C6" s="4">
        <v>13</v>
      </c>
      <c r="D6" s="4"/>
      <c r="E6" s="4">
        <v>13</v>
      </c>
      <c r="F6" s="4"/>
      <c r="G6" s="4">
        <v>-2</v>
      </c>
      <c r="H6" s="4">
        <v>-2</v>
      </c>
      <c r="I6" s="4"/>
      <c r="J6" s="4"/>
      <c r="K6" s="4">
        <v>4</v>
      </c>
      <c r="L6" s="4"/>
      <c r="M6" s="4">
        <v>4</v>
      </c>
      <c r="N6" s="4"/>
      <c r="O6" s="4">
        <v>1</v>
      </c>
      <c r="P6" s="4">
        <v>1</v>
      </c>
      <c r="Q6" s="4"/>
      <c r="R6" s="4"/>
      <c r="S6" s="4">
        <v>2</v>
      </c>
      <c r="T6" s="4"/>
      <c r="U6" s="4">
        <v>2</v>
      </c>
      <c r="V6" s="4"/>
      <c r="W6" s="4">
        <v>1</v>
      </c>
      <c r="X6" s="4">
        <v>1</v>
      </c>
      <c r="Y6" s="4"/>
      <c r="Z6" s="4"/>
      <c r="AA6" s="4">
        <v>11</v>
      </c>
      <c r="AB6" s="4">
        <v>3</v>
      </c>
      <c r="AC6" s="4">
        <v>3</v>
      </c>
    </row>
    <row r="7" spans="1:29" x14ac:dyDescent="0.35">
      <c r="B7" t="s">
        <v>13</v>
      </c>
      <c r="C7" s="4"/>
      <c r="D7" s="4">
        <v>0</v>
      </c>
      <c r="E7" s="4">
        <v>0</v>
      </c>
      <c r="F7" s="4">
        <v>5</v>
      </c>
      <c r="G7" s="4"/>
      <c r="H7" s="4">
        <v>5</v>
      </c>
      <c r="I7" s="4"/>
      <c r="J7" s="4"/>
      <c r="K7" s="4"/>
      <c r="L7" s="4">
        <v>1</v>
      </c>
      <c r="M7" s="4">
        <v>1</v>
      </c>
      <c r="N7" s="4">
        <v>1</v>
      </c>
      <c r="O7" s="4"/>
      <c r="P7" s="4">
        <v>1</v>
      </c>
      <c r="Q7" s="4"/>
      <c r="R7" s="4"/>
      <c r="S7" s="4"/>
      <c r="T7" s="4">
        <v>1</v>
      </c>
      <c r="U7" s="4">
        <v>1</v>
      </c>
      <c r="V7" s="4">
        <v>1</v>
      </c>
      <c r="W7" s="4"/>
      <c r="X7" s="4">
        <v>1</v>
      </c>
      <c r="Y7" s="4"/>
      <c r="Z7" s="4"/>
      <c r="AA7" s="4">
        <v>5</v>
      </c>
      <c r="AB7" s="4">
        <v>1</v>
      </c>
      <c r="AC7" s="4">
        <v>2</v>
      </c>
    </row>
    <row r="8" spans="1:29" x14ac:dyDescent="0.35">
      <c r="A8" t="s">
        <v>10</v>
      </c>
      <c r="C8" s="4">
        <v>0</v>
      </c>
      <c r="D8" s="4">
        <v>23</v>
      </c>
      <c r="E8" s="4">
        <v>23</v>
      </c>
      <c r="F8" s="4">
        <v>7</v>
      </c>
      <c r="G8" s="4">
        <v>20</v>
      </c>
      <c r="H8" s="4">
        <v>27</v>
      </c>
      <c r="I8" s="4"/>
      <c r="J8" s="4"/>
      <c r="K8" s="4">
        <v>2</v>
      </c>
      <c r="L8" s="4">
        <v>3</v>
      </c>
      <c r="M8" s="4">
        <v>2.6666666666666665</v>
      </c>
      <c r="N8" s="4">
        <v>3</v>
      </c>
      <c r="O8" s="4">
        <v>3</v>
      </c>
      <c r="P8" s="4">
        <v>3</v>
      </c>
      <c r="Q8" s="4"/>
      <c r="R8" s="4"/>
      <c r="S8" s="4">
        <v>1</v>
      </c>
      <c r="T8" s="4">
        <v>2</v>
      </c>
      <c r="U8" s="4">
        <v>3</v>
      </c>
      <c r="V8" s="4">
        <v>1</v>
      </c>
      <c r="W8" s="4">
        <v>1</v>
      </c>
      <c r="X8" s="4">
        <v>2</v>
      </c>
      <c r="Y8" s="4"/>
      <c r="Z8" s="4"/>
      <c r="AA8" s="4">
        <v>50</v>
      </c>
      <c r="AB8" s="4">
        <v>2.8</v>
      </c>
      <c r="AC8" s="4">
        <v>5</v>
      </c>
    </row>
    <row r="9" spans="1:29" x14ac:dyDescent="0.35">
      <c r="B9" t="s">
        <v>7</v>
      </c>
      <c r="C9" s="4">
        <v>0</v>
      </c>
      <c r="D9" s="4">
        <v>8</v>
      </c>
      <c r="E9" s="4">
        <v>8</v>
      </c>
      <c r="F9" s="4"/>
      <c r="G9" s="4">
        <v>20</v>
      </c>
      <c r="H9" s="4">
        <v>20</v>
      </c>
      <c r="I9" s="4"/>
      <c r="J9" s="4"/>
      <c r="K9" s="4">
        <v>2</v>
      </c>
      <c r="L9" s="4">
        <v>2</v>
      </c>
      <c r="M9" s="4">
        <v>2</v>
      </c>
      <c r="N9" s="4"/>
      <c r="O9" s="4">
        <v>3</v>
      </c>
      <c r="P9" s="4">
        <v>3</v>
      </c>
      <c r="Q9" s="4"/>
      <c r="R9" s="4"/>
      <c r="S9" s="4">
        <v>1</v>
      </c>
      <c r="T9" s="4">
        <v>1</v>
      </c>
      <c r="U9" s="4">
        <v>2</v>
      </c>
      <c r="V9" s="4"/>
      <c r="W9" s="4">
        <v>1</v>
      </c>
      <c r="X9" s="4">
        <v>1</v>
      </c>
      <c r="Y9" s="4"/>
      <c r="Z9" s="4"/>
      <c r="AA9" s="4">
        <v>28</v>
      </c>
      <c r="AB9" s="4">
        <v>2.3333333333333335</v>
      </c>
      <c r="AC9" s="4">
        <v>3</v>
      </c>
    </row>
    <row r="10" spans="1:29" x14ac:dyDescent="0.35">
      <c r="B10" t="s">
        <v>13</v>
      </c>
      <c r="C10" s="4"/>
      <c r="D10" s="4">
        <v>15</v>
      </c>
      <c r="E10" s="4">
        <v>15</v>
      </c>
      <c r="F10" s="4">
        <v>7</v>
      </c>
      <c r="G10" s="4"/>
      <c r="H10" s="4">
        <v>7</v>
      </c>
      <c r="I10" s="4"/>
      <c r="J10" s="4"/>
      <c r="K10" s="4"/>
      <c r="L10" s="4">
        <v>4</v>
      </c>
      <c r="M10" s="4">
        <v>4</v>
      </c>
      <c r="N10" s="4">
        <v>3</v>
      </c>
      <c r="O10" s="4"/>
      <c r="P10" s="4">
        <v>3</v>
      </c>
      <c r="Q10" s="4"/>
      <c r="R10" s="4"/>
      <c r="S10" s="4"/>
      <c r="T10" s="4">
        <v>1</v>
      </c>
      <c r="U10" s="4">
        <v>1</v>
      </c>
      <c r="V10" s="4">
        <v>1</v>
      </c>
      <c r="W10" s="4"/>
      <c r="X10" s="4">
        <v>1</v>
      </c>
      <c r="Y10" s="4"/>
      <c r="Z10" s="4"/>
      <c r="AA10" s="4">
        <v>22</v>
      </c>
      <c r="AB10" s="4">
        <v>3.5</v>
      </c>
      <c r="AC10" s="4">
        <v>2</v>
      </c>
    </row>
    <row r="11" spans="1:29" x14ac:dyDescent="0.35">
      <c r="A11" t="s">
        <v>13</v>
      </c>
      <c r="C11" s="4">
        <v>4</v>
      </c>
      <c r="D11" s="4"/>
      <c r="E11" s="4">
        <v>4</v>
      </c>
      <c r="F11" s="4"/>
      <c r="G11" s="4"/>
      <c r="H11" s="4"/>
      <c r="I11" s="4"/>
      <c r="J11" s="4"/>
      <c r="K11" s="4">
        <v>2</v>
      </c>
      <c r="L11" s="4"/>
      <c r="M11" s="4">
        <v>2</v>
      </c>
      <c r="N11" s="4"/>
      <c r="O11" s="4"/>
      <c r="P11" s="4"/>
      <c r="Q11" s="4">
        <v>5</v>
      </c>
      <c r="R11" s="4">
        <v>5</v>
      </c>
      <c r="S11" s="4">
        <v>1</v>
      </c>
      <c r="T11" s="4"/>
      <c r="U11" s="4">
        <v>1</v>
      </c>
      <c r="V11" s="4"/>
      <c r="W11" s="4"/>
      <c r="X11" s="4"/>
      <c r="Y11" s="4"/>
      <c r="Z11" s="4"/>
      <c r="AA11" s="4">
        <v>4</v>
      </c>
      <c r="AB11" s="4">
        <v>3.5</v>
      </c>
      <c r="AC11" s="4">
        <v>1</v>
      </c>
    </row>
    <row r="12" spans="1:29" x14ac:dyDescent="0.35">
      <c r="B12" t="s">
        <v>7</v>
      </c>
      <c r="C12" s="4">
        <v>4</v>
      </c>
      <c r="D12" s="4"/>
      <c r="E12" s="4">
        <v>4</v>
      </c>
      <c r="F12" s="4"/>
      <c r="G12" s="4"/>
      <c r="H12" s="4"/>
      <c r="I12" s="4"/>
      <c r="J12" s="4"/>
      <c r="K12" s="4">
        <v>2</v>
      </c>
      <c r="L12" s="4"/>
      <c r="M12" s="4">
        <v>2</v>
      </c>
      <c r="N12" s="4"/>
      <c r="O12" s="4"/>
      <c r="P12" s="4"/>
      <c r="Q12" s="4"/>
      <c r="R12" s="4"/>
      <c r="S12" s="4">
        <v>1</v>
      </c>
      <c r="T12" s="4"/>
      <c r="U12" s="4">
        <v>1</v>
      </c>
      <c r="V12" s="4"/>
      <c r="W12" s="4"/>
      <c r="X12" s="4"/>
      <c r="Y12" s="4"/>
      <c r="Z12" s="4"/>
      <c r="AA12" s="4">
        <v>4</v>
      </c>
      <c r="AB12" s="4">
        <v>2</v>
      </c>
      <c r="AC12" s="4">
        <v>1</v>
      </c>
    </row>
    <row r="13" spans="1:29" x14ac:dyDescent="0.35">
      <c r="B13" t="s">
        <v>14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>
        <v>5</v>
      </c>
      <c r="R13" s="4">
        <v>5</v>
      </c>
      <c r="S13" s="4"/>
      <c r="T13" s="4"/>
      <c r="U13" s="4"/>
      <c r="V13" s="4"/>
      <c r="W13" s="4"/>
      <c r="X13" s="4"/>
      <c r="Y13" s="4"/>
      <c r="Z13" s="4"/>
      <c r="AA13" s="4"/>
      <c r="AB13" s="4">
        <v>5</v>
      </c>
      <c r="AC13" s="4"/>
    </row>
    <row r="14" spans="1:29" x14ac:dyDescent="0.35">
      <c r="A14" t="s">
        <v>19</v>
      </c>
      <c r="C14" s="4">
        <v>17</v>
      </c>
      <c r="D14" s="4">
        <v>23</v>
      </c>
      <c r="E14" s="4">
        <v>40</v>
      </c>
      <c r="F14" s="4">
        <v>12</v>
      </c>
      <c r="G14" s="4">
        <v>18</v>
      </c>
      <c r="H14" s="4">
        <v>30</v>
      </c>
      <c r="I14" s="4"/>
      <c r="J14" s="4"/>
      <c r="K14" s="4">
        <v>3</v>
      </c>
      <c r="L14" s="4">
        <v>2.3333333333333335</v>
      </c>
      <c r="M14" s="4">
        <v>2.7142857142857144</v>
      </c>
      <c r="N14" s="4">
        <v>2</v>
      </c>
      <c r="O14" s="4">
        <v>2</v>
      </c>
      <c r="P14" s="4">
        <v>2</v>
      </c>
      <c r="Q14" s="4">
        <v>5</v>
      </c>
      <c r="R14" s="4">
        <v>5</v>
      </c>
      <c r="S14" s="4">
        <v>4</v>
      </c>
      <c r="T14" s="4">
        <v>3</v>
      </c>
      <c r="U14" s="4">
        <v>7</v>
      </c>
      <c r="V14" s="4">
        <v>2</v>
      </c>
      <c r="W14" s="4">
        <v>2</v>
      </c>
      <c r="X14" s="4">
        <v>4</v>
      </c>
      <c r="Y14" s="4"/>
      <c r="Z14" s="4"/>
      <c r="AA14" s="4">
        <v>70</v>
      </c>
      <c r="AB14" s="4">
        <v>2.6666666666666665</v>
      </c>
      <c r="AC14" s="4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999D-3E1B-45DD-88A5-B0386EEA2D08}">
  <dimension ref="A1:J45"/>
  <sheetViews>
    <sheetView workbookViewId="0"/>
  </sheetViews>
  <sheetFormatPr defaultRowHeight="14.5" x14ac:dyDescent="0.35"/>
  <cols>
    <col min="1" max="1" width="13.54296875" bestFit="1" customWidth="1"/>
    <col min="2" max="2" width="15.6328125" bestFit="1" customWidth="1"/>
    <col min="3" max="4" width="11.81640625" bestFit="1" customWidth="1"/>
    <col min="5" max="5" width="5.7265625" bestFit="1" customWidth="1"/>
    <col min="6" max="6" width="4.54296875" bestFit="1" customWidth="1"/>
    <col min="7" max="7" width="6.36328125" bestFit="1" customWidth="1"/>
    <col min="8" max="8" width="5.90625" bestFit="1" customWidth="1"/>
    <col min="9" max="9" width="6.54296875" bestFit="1" customWidth="1"/>
    <col min="10" max="10" width="11.81640625" bestFit="1" customWidth="1"/>
    <col min="11" max="11" width="8.08984375" bestFit="1" customWidth="1"/>
    <col min="12" max="12" width="8.1796875" bestFit="1" customWidth="1"/>
    <col min="13" max="13" width="6.6328125" bestFit="1" customWidth="1"/>
    <col min="14" max="14" width="8.08984375" bestFit="1" customWidth="1"/>
    <col min="15" max="15" width="8.1796875" bestFit="1" customWidth="1"/>
    <col min="16" max="16" width="6.6328125" bestFit="1" customWidth="1"/>
    <col min="17" max="17" width="9.54296875" bestFit="1" customWidth="1"/>
    <col min="18" max="18" width="9.6328125" bestFit="1" customWidth="1"/>
    <col min="19" max="20" width="8.08984375" bestFit="1" customWidth="1"/>
    <col min="21" max="21" width="8.1796875" bestFit="1" customWidth="1"/>
    <col min="22" max="22" width="6.6328125" bestFit="1" customWidth="1"/>
    <col min="23" max="23" width="9.7265625" bestFit="1" customWidth="1"/>
    <col min="24" max="24" width="9.81640625" bestFit="1" customWidth="1"/>
    <col min="25" max="25" width="8.26953125" bestFit="1" customWidth="1"/>
    <col min="26" max="26" width="12.54296875" bestFit="1" customWidth="1"/>
    <col min="27" max="27" width="12.6328125" bestFit="1" customWidth="1"/>
    <col min="28" max="28" width="11.08984375" bestFit="1" customWidth="1"/>
  </cols>
  <sheetData>
    <row r="1" spans="1:10" x14ac:dyDescent="0.35">
      <c r="B1" s="1" t="s">
        <v>25</v>
      </c>
    </row>
    <row r="2" spans="1:10" x14ac:dyDescent="0.35">
      <c r="B2" t="s">
        <v>8</v>
      </c>
      <c r="D2" t="s">
        <v>26</v>
      </c>
      <c r="E2" t="s">
        <v>11</v>
      </c>
      <c r="G2" t="s">
        <v>27</v>
      </c>
      <c r="H2" t="s">
        <v>15</v>
      </c>
      <c r="I2" t="s">
        <v>28</v>
      </c>
      <c r="J2" t="s">
        <v>19</v>
      </c>
    </row>
    <row r="3" spans="1:10" x14ac:dyDescent="0.35">
      <c r="A3" s="1" t="s">
        <v>18</v>
      </c>
      <c r="B3" t="s">
        <v>9</v>
      </c>
      <c r="C3" t="s">
        <v>12</v>
      </c>
      <c r="E3" t="s">
        <v>9</v>
      </c>
      <c r="F3" t="s">
        <v>12</v>
      </c>
      <c r="H3" t="s">
        <v>16</v>
      </c>
    </row>
    <row r="4" spans="1:10" x14ac:dyDescent="0.35">
      <c r="A4" s="2" t="s">
        <v>6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5">
      <c r="A5" s="3" t="s">
        <v>20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35">
      <c r="A6" s="5" t="s">
        <v>7</v>
      </c>
      <c r="B6" s="4">
        <v>13</v>
      </c>
      <c r="C6" s="4"/>
      <c r="D6" s="4">
        <v>13</v>
      </c>
      <c r="E6" s="4"/>
      <c r="F6" s="4">
        <v>-2</v>
      </c>
      <c r="G6" s="4">
        <v>-2</v>
      </c>
      <c r="H6" s="4"/>
      <c r="I6" s="4"/>
      <c r="J6" s="4">
        <v>11</v>
      </c>
    </row>
    <row r="7" spans="1:10" x14ac:dyDescent="0.35">
      <c r="A7" s="5" t="s">
        <v>13</v>
      </c>
      <c r="B7" s="4"/>
      <c r="C7" s="4">
        <v>0</v>
      </c>
      <c r="D7" s="4">
        <v>0</v>
      </c>
      <c r="E7" s="4">
        <v>5</v>
      </c>
      <c r="F7" s="4"/>
      <c r="G7" s="4">
        <v>5</v>
      </c>
      <c r="H7" s="4"/>
      <c r="I7" s="4"/>
      <c r="J7" s="4">
        <v>5</v>
      </c>
    </row>
    <row r="8" spans="1:10" x14ac:dyDescent="0.35">
      <c r="A8" s="3" t="s">
        <v>46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35">
      <c r="A9" s="5" t="s">
        <v>7</v>
      </c>
      <c r="B9" s="4">
        <v>4</v>
      </c>
      <c r="C9" s="4"/>
      <c r="D9" s="4">
        <v>4</v>
      </c>
      <c r="E9" s="4"/>
      <c r="F9" s="4">
        <v>1</v>
      </c>
      <c r="G9" s="4">
        <v>1</v>
      </c>
      <c r="H9" s="4"/>
      <c r="I9" s="4"/>
      <c r="J9" s="4">
        <v>3</v>
      </c>
    </row>
    <row r="10" spans="1:10" x14ac:dyDescent="0.35">
      <c r="A10" s="5" t="s">
        <v>13</v>
      </c>
      <c r="B10" s="4"/>
      <c r="C10" s="4">
        <v>1</v>
      </c>
      <c r="D10" s="4">
        <v>1</v>
      </c>
      <c r="E10" s="4">
        <v>1</v>
      </c>
      <c r="F10" s="4"/>
      <c r="G10" s="4">
        <v>1</v>
      </c>
      <c r="H10" s="4"/>
      <c r="I10" s="4"/>
      <c r="J10" s="4">
        <v>1</v>
      </c>
    </row>
    <row r="11" spans="1:10" x14ac:dyDescent="0.35">
      <c r="A11" s="3" t="s">
        <v>51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5">
      <c r="A12" s="5" t="s">
        <v>7</v>
      </c>
      <c r="B12" s="4">
        <v>2</v>
      </c>
      <c r="C12" s="4"/>
      <c r="D12" s="4">
        <v>2</v>
      </c>
      <c r="E12" s="4"/>
      <c r="F12" s="4">
        <v>1</v>
      </c>
      <c r="G12" s="4">
        <v>1</v>
      </c>
      <c r="H12" s="4"/>
      <c r="I12" s="4"/>
      <c r="J12" s="4">
        <v>3</v>
      </c>
    </row>
    <row r="13" spans="1:10" x14ac:dyDescent="0.35">
      <c r="A13" s="5" t="s">
        <v>13</v>
      </c>
      <c r="B13" s="4"/>
      <c r="C13" s="4">
        <v>1</v>
      </c>
      <c r="D13" s="4">
        <v>1</v>
      </c>
      <c r="E13" s="4">
        <v>1</v>
      </c>
      <c r="F13" s="4"/>
      <c r="G13" s="4">
        <v>1</v>
      </c>
      <c r="H13" s="4"/>
      <c r="I13" s="4"/>
      <c r="J13" s="4">
        <v>2</v>
      </c>
    </row>
    <row r="14" spans="1:10" x14ac:dyDescent="0.35">
      <c r="A14" s="2" t="s">
        <v>54</v>
      </c>
      <c r="B14" s="4">
        <v>13</v>
      </c>
      <c r="C14" s="4">
        <v>0</v>
      </c>
      <c r="D14" s="4">
        <v>13</v>
      </c>
      <c r="E14" s="4">
        <v>5</v>
      </c>
      <c r="F14" s="4">
        <v>-2</v>
      </c>
      <c r="G14" s="4">
        <v>3</v>
      </c>
      <c r="H14" s="4"/>
      <c r="I14" s="4"/>
      <c r="J14" s="4">
        <v>16</v>
      </c>
    </row>
    <row r="15" spans="1:10" x14ac:dyDescent="0.35">
      <c r="A15" s="2" t="s">
        <v>55</v>
      </c>
      <c r="B15" s="4">
        <v>4</v>
      </c>
      <c r="C15" s="4">
        <v>1</v>
      </c>
      <c r="D15" s="4">
        <v>3</v>
      </c>
      <c r="E15" s="4">
        <v>1</v>
      </c>
      <c r="F15" s="4">
        <v>1</v>
      </c>
      <c r="G15" s="4">
        <v>1</v>
      </c>
      <c r="H15" s="4"/>
      <c r="I15" s="4"/>
      <c r="J15" s="4">
        <v>2.2000000000000002</v>
      </c>
    </row>
    <row r="16" spans="1:10" x14ac:dyDescent="0.35">
      <c r="A16" s="2" t="s">
        <v>56</v>
      </c>
      <c r="B16" s="4">
        <v>2</v>
      </c>
      <c r="C16" s="4">
        <v>1</v>
      </c>
      <c r="D16" s="4">
        <v>3</v>
      </c>
      <c r="E16" s="4">
        <v>1</v>
      </c>
      <c r="F16" s="4">
        <v>1</v>
      </c>
      <c r="G16" s="4">
        <v>2</v>
      </c>
      <c r="H16" s="4"/>
      <c r="I16" s="4"/>
      <c r="J16" s="4">
        <v>5</v>
      </c>
    </row>
    <row r="17" spans="1:10" x14ac:dyDescent="0.35">
      <c r="A17" s="2" t="s">
        <v>10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5">
      <c r="A18" s="3" t="s">
        <v>20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5" t="s">
        <v>7</v>
      </c>
      <c r="B19" s="4">
        <v>0</v>
      </c>
      <c r="C19" s="4">
        <v>8</v>
      </c>
      <c r="D19" s="4">
        <v>8</v>
      </c>
      <c r="E19" s="4"/>
      <c r="F19" s="4">
        <v>20</v>
      </c>
      <c r="G19" s="4">
        <v>20</v>
      </c>
      <c r="H19" s="4"/>
      <c r="I19" s="4"/>
      <c r="J19" s="4">
        <v>28</v>
      </c>
    </row>
    <row r="20" spans="1:10" x14ac:dyDescent="0.35">
      <c r="A20" s="5" t="s">
        <v>13</v>
      </c>
      <c r="B20" s="4"/>
      <c r="C20" s="4">
        <v>15</v>
      </c>
      <c r="D20" s="4">
        <v>15</v>
      </c>
      <c r="E20" s="4">
        <v>7</v>
      </c>
      <c r="F20" s="4"/>
      <c r="G20" s="4">
        <v>7</v>
      </c>
      <c r="H20" s="4"/>
      <c r="I20" s="4"/>
      <c r="J20" s="4">
        <v>22</v>
      </c>
    </row>
    <row r="21" spans="1:10" x14ac:dyDescent="0.35">
      <c r="A21" s="3" t="s">
        <v>46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5">
      <c r="A22" s="5" t="s">
        <v>7</v>
      </c>
      <c r="B22" s="4">
        <v>2</v>
      </c>
      <c r="C22" s="4">
        <v>2</v>
      </c>
      <c r="D22" s="4">
        <v>2</v>
      </c>
      <c r="E22" s="4"/>
      <c r="F22" s="4">
        <v>3</v>
      </c>
      <c r="G22" s="4">
        <v>3</v>
      </c>
      <c r="H22" s="4"/>
      <c r="I22" s="4"/>
      <c r="J22" s="4">
        <v>2.3333333333333335</v>
      </c>
    </row>
    <row r="23" spans="1:10" x14ac:dyDescent="0.35">
      <c r="A23" s="5" t="s">
        <v>13</v>
      </c>
      <c r="B23" s="4"/>
      <c r="C23" s="4">
        <v>4</v>
      </c>
      <c r="D23" s="4">
        <v>4</v>
      </c>
      <c r="E23" s="4">
        <v>3</v>
      </c>
      <c r="F23" s="4"/>
      <c r="G23" s="4">
        <v>3</v>
      </c>
      <c r="H23" s="4"/>
      <c r="I23" s="4"/>
      <c r="J23" s="4">
        <v>3.5</v>
      </c>
    </row>
    <row r="24" spans="1:10" x14ac:dyDescent="0.35">
      <c r="A24" s="3" t="s">
        <v>51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5">
      <c r="A25" s="5" t="s">
        <v>7</v>
      </c>
      <c r="B25" s="4">
        <v>1</v>
      </c>
      <c r="C25" s="4">
        <v>1</v>
      </c>
      <c r="D25" s="4">
        <v>2</v>
      </c>
      <c r="E25" s="4"/>
      <c r="F25" s="4">
        <v>1</v>
      </c>
      <c r="G25" s="4">
        <v>1</v>
      </c>
      <c r="H25" s="4"/>
      <c r="I25" s="4"/>
      <c r="J25" s="4">
        <v>3</v>
      </c>
    </row>
    <row r="26" spans="1:10" x14ac:dyDescent="0.35">
      <c r="A26" s="5" t="s">
        <v>13</v>
      </c>
      <c r="B26" s="4"/>
      <c r="C26" s="4">
        <v>1</v>
      </c>
      <c r="D26" s="4">
        <v>1</v>
      </c>
      <c r="E26" s="4">
        <v>1</v>
      </c>
      <c r="F26" s="4"/>
      <c r="G26" s="4">
        <v>1</v>
      </c>
      <c r="H26" s="4"/>
      <c r="I26" s="4"/>
      <c r="J26" s="4">
        <v>2</v>
      </c>
    </row>
    <row r="27" spans="1:10" x14ac:dyDescent="0.35">
      <c r="A27" s="2" t="s">
        <v>57</v>
      </c>
      <c r="B27" s="4">
        <v>0</v>
      </c>
      <c r="C27" s="4">
        <v>23</v>
      </c>
      <c r="D27" s="4">
        <v>23</v>
      </c>
      <c r="E27" s="4">
        <v>7</v>
      </c>
      <c r="F27" s="4">
        <v>20</v>
      </c>
      <c r="G27" s="4">
        <v>27</v>
      </c>
      <c r="H27" s="4"/>
      <c r="I27" s="4"/>
      <c r="J27" s="4">
        <v>50</v>
      </c>
    </row>
    <row r="28" spans="1:10" x14ac:dyDescent="0.35">
      <c r="A28" s="2" t="s">
        <v>58</v>
      </c>
      <c r="B28" s="4">
        <v>2</v>
      </c>
      <c r="C28" s="4">
        <v>3</v>
      </c>
      <c r="D28" s="4">
        <v>2.6666666666666665</v>
      </c>
      <c r="E28" s="4">
        <v>3</v>
      </c>
      <c r="F28" s="4">
        <v>3</v>
      </c>
      <c r="G28" s="4">
        <v>3</v>
      </c>
      <c r="H28" s="4"/>
      <c r="I28" s="4"/>
      <c r="J28" s="4">
        <v>2.8</v>
      </c>
    </row>
    <row r="29" spans="1:10" x14ac:dyDescent="0.35">
      <c r="A29" s="2" t="s">
        <v>59</v>
      </c>
      <c r="B29" s="4">
        <v>1</v>
      </c>
      <c r="C29" s="4">
        <v>2</v>
      </c>
      <c r="D29" s="4">
        <v>3</v>
      </c>
      <c r="E29" s="4">
        <v>1</v>
      </c>
      <c r="F29" s="4">
        <v>1</v>
      </c>
      <c r="G29" s="4">
        <v>2</v>
      </c>
      <c r="H29" s="4"/>
      <c r="I29" s="4"/>
      <c r="J29" s="4">
        <v>5</v>
      </c>
    </row>
    <row r="30" spans="1:10" x14ac:dyDescent="0.35">
      <c r="A30" s="2" t="s">
        <v>13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5">
      <c r="A31" s="3" t="s">
        <v>20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x14ac:dyDescent="0.35">
      <c r="A32" s="5" t="s">
        <v>7</v>
      </c>
      <c r="B32" s="4">
        <v>4</v>
      </c>
      <c r="C32" s="4"/>
      <c r="D32" s="4">
        <v>4</v>
      </c>
      <c r="E32" s="4"/>
      <c r="F32" s="4"/>
      <c r="G32" s="4"/>
      <c r="H32" s="4"/>
      <c r="I32" s="4"/>
      <c r="J32" s="4">
        <v>4</v>
      </c>
    </row>
    <row r="33" spans="1:10" x14ac:dyDescent="0.35">
      <c r="A33" s="5" t="s">
        <v>14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5">
      <c r="A34" s="3" t="s">
        <v>46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5">
      <c r="A35" s="5" t="s">
        <v>7</v>
      </c>
      <c r="B35" s="4">
        <v>2</v>
      </c>
      <c r="C35" s="4"/>
      <c r="D35" s="4">
        <v>2</v>
      </c>
      <c r="E35" s="4"/>
      <c r="F35" s="4"/>
      <c r="G35" s="4"/>
      <c r="H35" s="4"/>
      <c r="I35" s="4"/>
      <c r="J35" s="4">
        <v>2</v>
      </c>
    </row>
    <row r="36" spans="1:10" x14ac:dyDescent="0.35">
      <c r="A36" s="5" t="s">
        <v>14</v>
      </c>
      <c r="B36" s="4"/>
      <c r="C36" s="4"/>
      <c r="D36" s="4"/>
      <c r="E36" s="4"/>
      <c r="F36" s="4"/>
      <c r="G36" s="4"/>
      <c r="H36" s="4">
        <v>5</v>
      </c>
      <c r="I36" s="4">
        <v>5</v>
      </c>
      <c r="J36" s="4">
        <v>5</v>
      </c>
    </row>
    <row r="37" spans="1:10" x14ac:dyDescent="0.35">
      <c r="A37" s="3" t="s">
        <v>51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5">
      <c r="A38" s="5" t="s">
        <v>7</v>
      </c>
      <c r="B38" s="4">
        <v>1</v>
      </c>
      <c r="C38" s="4"/>
      <c r="D38" s="4">
        <v>1</v>
      </c>
      <c r="E38" s="4"/>
      <c r="F38" s="4"/>
      <c r="G38" s="4"/>
      <c r="H38" s="4"/>
      <c r="I38" s="4"/>
      <c r="J38" s="4">
        <v>1</v>
      </c>
    </row>
    <row r="39" spans="1:10" x14ac:dyDescent="0.35">
      <c r="A39" s="5" t="s">
        <v>14</v>
      </c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5">
      <c r="A40" s="2" t="s">
        <v>60</v>
      </c>
      <c r="B40" s="4">
        <v>4</v>
      </c>
      <c r="C40" s="4"/>
      <c r="D40" s="4">
        <v>4</v>
      </c>
      <c r="E40" s="4"/>
      <c r="F40" s="4"/>
      <c r="G40" s="4"/>
      <c r="H40" s="4"/>
      <c r="I40" s="4"/>
      <c r="J40" s="4">
        <v>4</v>
      </c>
    </row>
    <row r="41" spans="1:10" x14ac:dyDescent="0.35">
      <c r="A41" s="2" t="s">
        <v>61</v>
      </c>
      <c r="B41" s="4">
        <v>2</v>
      </c>
      <c r="C41" s="4"/>
      <c r="D41" s="4">
        <v>2</v>
      </c>
      <c r="E41" s="4"/>
      <c r="F41" s="4"/>
      <c r="G41" s="4"/>
      <c r="H41" s="4">
        <v>5</v>
      </c>
      <c r="I41" s="4">
        <v>5</v>
      </c>
      <c r="J41" s="4">
        <v>3.5</v>
      </c>
    </row>
    <row r="42" spans="1:10" x14ac:dyDescent="0.35">
      <c r="A42" s="2" t="s">
        <v>62</v>
      </c>
      <c r="B42" s="4">
        <v>1</v>
      </c>
      <c r="C42" s="4"/>
      <c r="D42" s="4">
        <v>1</v>
      </c>
      <c r="E42" s="4"/>
      <c r="F42" s="4"/>
      <c r="G42" s="4"/>
      <c r="H42" s="4"/>
      <c r="I42" s="4"/>
      <c r="J42" s="4">
        <v>1</v>
      </c>
    </row>
    <row r="43" spans="1:10" x14ac:dyDescent="0.35">
      <c r="A43" s="2" t="s">
        <v>44</v>
      </c>
      <c r="B43" s="4">
        <v>17</v>
      </c>
      <c r="C43" s="4">
        <v>23</v>
      </c>
      <c r="D43" s="4">
        <v>40</v>
      </c>
      <c r="E43" s="4">
        <v>12</v>
      </c>
      <c r="F43" s="4">
        <v>18</v>
      </c>
      <c r="G43" s="4">
        <v>30</v>
      </c>
      <c r="H43" s="4"/>
      <c r="I43" s="4"/>
      <c r="J43" s="4">
        <v>70</v>
      </c>
    </row>
    <row r="44" spans="1:10" x14ac:dyDescent="0.35">
      <c r="A44" s="2" t="s">
        <v>45</v>
      </c>
      <c r="B44" s="4">
        <v>3</v>
      </c>
      <c r="C44" s="4">
        <v>2.3333333333333335</v>
      </c>
      <c r="D44" s="4">
        <v>2.7142857142857144</v>
      </c>
      <c r="E44" s="4">
        <v>2</v>
      </c>
      <c r="F44" s="4">
        <v>2</v>
      </c>
      <c r="G44" s="4">
        <v>2</v>
      </c>
      <c r="H44" s="4">
        <v>5</v>
      </c>
      <c r="I44" s="4">
        <v>5</v>
      </c>
      <c r="J44" s="4">
        <v>2.6666666666666665</v>
      </c>
    </row>
    <row r="45" spans="1:10" x14ac:dyDescent="0.35">
      <c r="A45" s="2" t="s">
        <v>50</v>
      </c>
      <c r="B45" s="4">
        <v>4</v>
      </c>
      <c r="C45" s="4">
        <v>3</v>
      </c>
      <c r="D45" s="4">
        <v>7</v>
      </c>
      <c r="E45" s="4">
        <v>2</v>
      </c>
      <c r="F45" s="4">
        <v>2</v>
      </c>
      <c r="G45" s="4">
        <v>4</v>
      </c>
      <c r="H45" s="4"/>
      <c r="I45" s="4"/>
      <c r="J45" s="4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69A7-F5C2-4937-B4E8-14C360F79224}">
  <dimension ref="A1:H35"/>
  <sheetViews>
    <sheetView workbookViewId="0"/>
  </sheetViews>
  <sheetFormatPr defaultRowHeight="14.5" x14ac:dyDescent="0.35"/>
  <cols>
    <col min="1" max="1" width="12.6328125" bestFit="1" customWidth="1"/>
    <col min="2" max="2" width="15.6328125" bestFit="1" customWidth="1"/>
    <col min="3" max="3" width="11.81640625" bestFit="1" customWidth="1"/>
    <col min="4" max="4" width="9.6328125" bestFit="1" customWidth="1"/>
    <col min="5" max="8" width="11.81640625" bestFit="1" customWidth="1"/>
    <col min="9" max="9" width="8.1796875" bestFit="1" customWidth="1"/>
    <col min="10" max="10" width="6.6328125" bestFit="1" customWidth="1"/>
    <col min="11" max="11" width="12.54296875" bestFit="1" customWidth="1"/>
    <col min="12" max="12" width="12.6328125" bestFit="1" customWidth="1"/>
    <col min="13" max="13" width="11.08984375" bestFit="1" customWidth="1"/>
  </cols>
  <sheetData>
    <row r="1" spans="1:8" x14ac:dyDescent="0.35">
      <c r="E1" s="1" t="s">
        <v>3</v>
      </c>
    </row>
    <row r="2" spans="1:8" x14ac:dyDescent="0.35">
      <c r="A2" s="1" t="s">
        <v>0</v>
      </c>
      <c r="B2" s="1" t="s">
        <v>52</v>
      </c>
      <c r="C2" s="1" t="s">
        <v>1</v>
      </c>
      <c r="D2" s="1" t="s">
        <v>2</v>
      </c>
      <c r="E2" t="s">
        <v>16</v>
      </c>
      <c r="F2" t="s">
        <v>9</v>
      </c>
      <c r="G2" t="s">
        <v>12</v>
      </c>
      <c r="H2" t="s">
        <v>19</v>
      </c>
    </row>
    <row r="3" spans="1:8" x14ac:dyDescent="0.35">
      <c r="A3" t="s">
        <v>6</v>
      </c>
      <c r="B3" t="s">
        <v>20</v>
      </c>
      <c r="C3" t="s">
        <v>7</v>
      </c>
      <c r="D3" t="s">
        <v>8</v>
      </c>
      <c r="E3" s="4"/>
      <c r="F3" s="4">
        <v>13</v>
      </c>
      <c r="G3" s="4"/>
      <c r="H3" s="4">
        <v>13</v>
      </c>
    </row>
    <row r="4" spans="1:8" x14ac:dyDescent="0.35">
      <c r="D4" t="s">
        <v>11</v>
      </c>
      <c r="E4" s="4"/>
      <c r="F4" s="4"/>
      <c r="G4" s="4">
        <v>-2</v>
      </c>
      <c r="H4" s="4">
        <v>-2</v>
      </c>
    </row>
    <row r="5" spans="1:8" x14ac:dyDescent="0.35">
      <c r="C5" t="s">
        <v>13</v>
      </c>
      <c r="D5" t="s">
        <v>8</v>
      </c>
      <c r="E5" s="4"/>
      <c r="F5" s="4"/>
      <c r="G5" s="4">
        <v>0</v>
      </c>
      <c r="H5" s="4">
        <v>0</v>
      </c>
    </row>
    <row r="6" spans="1:8" x14ac:dyDescent="0.35">
      <c r="D6" t="s">
        <v>11</v>
      </c>
      <c r="E6" s="4"/>
      <c r="F6" s="4">
        <v>5</v>
      </c>
      <c r="G6" s="4"/>
      <c r="H6" s="4">
        <v>5</v>
      </c>
    </row>
    <row r="7" spans="1:8" x14ac:dyDescent="0.35">
      <c r="B7" t="s">
        <v>46</v>
      </c>
      <c r="C7" t="s">
        <v>7</v>
      </c>
      <c r="D7" t="s">
        <v>8</v>
      </c>
      <c r="E7" s="4"/>
      <c r="F7" s="4">
        <v>4</v>
      </c>
      <c r="G7" s="4"/>
      <c r="H7" s="4">
        <v>4</v>
      </c>
    </row>
    <row r="8" spans="1:8" x14ac:dyDescent="0.35">
      <c r="D8" t="s">
        <v>11</v>
      </c>
      <c r="E8" s="4"/>
      <c r="F8" s="4"/>
      <c r="G8" s="4">
        <v>1</v>
      </c>
      <c r="H8" s="4">
        <v>1</v>
      </c>
    </row>
    <row r="9" spans="1:8" x14ac:dyDescent="0.35">
      <c r="C9" t="s">
        <v>13</v>
      </c>
      <c r="D9" t="s">
        <v>8</v>
      </c>
      <c r="E9" s="4"/>
      <c r="F9" s="4"/>
      <c r="G9" s="4">
        <v>1</v>
      </c>
      <c r="H9" s="4">
        <v>1</v>
      </c>
    </row>
    <row r="10" spans="1:8" x14ac:dyDescent="0.35">
      <c r="D10" t="s">
        <v>11</v>
      </c>
      <c r="E10" s="4"/>
      <c r="F10" s="4">
        <v>1</v>
      </c>
      <c r="G10" s="4"/>
      <c r="H10" s="4">
        <v>1</v>
      </c>
    </row>
    <row r="11" spans="1:8" x14ac:dyDescent="0.35">
      <c r="B11" t="s">
        <v>51</v>
      </c>
      <c r="C11" t="s">
        <v>7</v>
      </c>
      <c r="D11" t="s">
        <v>8</v>
      </c>
      <c r="E11" s="4"/>
      <c r="F11" s="4">
        <v>2</v>
      </c>
      <c r="G11" s="4"/>
      <c r="H11" s="4">
        <v>2</v>
      </c>
    </row>
    <row r="12" spans="1:8" x14ac:dyDescent="0.35">
      <c r="D12" t="s">
        <v>11</v>
      </c>
      <c r="E12" s="4"/>
      <c r="F12" s="4"/>
      <c r="G12" s="4">
        <v>1</v>
      </c>
      <c r="H12" s="4">
        <v>1</v>
      </c>
    </row>
    <row r="13" spans="1:8" x14ac:dyDescent="0.35">
      <c r="C13" t="s">
        <v>13</v>
      </c>
      <c r="D13" t="s">
        <v>8</v>
      </c>
      <c r="E13" s="4"/>
      <c r="F13" s="4"/>
      <c r="G13" s="4">
        <v>1</v>
      </c>
      <c r="H13" s="4">
        <v>1</v>
      </c>
    </row>
    <row r="14" spans="1:8" x14ac:dyDescent="0.35">
      <c r="D14" t="s">
        <v>11</v>
      </c>
      <c r="E14" s="4"/>
      <c r="F14" s="4">
        <v>1</v>
      </c>
      <c r="G14" s="4"/>
      <c r="H14" s="4">
        <v>1</v>
      </c>
    </row>
    <row r="15" spans="1:8" x14ac:dyDescent="0.35">
      <c r="A15" t="s">
        <v>10</v>
      </c>
      <c r="B15" t="s">
        <v>20</v>
      </c>
      <c r="C15" t="s">
        <v>7</v>
      </c>
      <c r="D15" t="s">
        <v>8</v>
      </c>
      <c r="E15" s="4"/>
      <c r="F15" s="4">
        <v>0</v>
      </c>
      <c r="G15" s="4">
        <v>8</v>
      </c>
      <c r="H15" s="4">
        <v>8</v>
      </c>
    </row>
    <row r="16" spans="1:8" x14ac:dyDescent="0.35">
      <c r="D16" t="s">
        <v>11</v>
      </c>
      <c r="E16" s="4"/>
      <c r="F16" s="4"/>
      <c r="G16" s="4">
        <v>20</v>
      </c>
      <c r="H16" s="4">
        <v>20</v>
      </c>
    </row>
    <row r="17" spans="1:8" x14ac:dyDescent="0.35">
      <c r="C17" t="s">
        <v>13</v>
      </c>
      <c r="D17" t="s">
        <v>8</v>
      </c>
      <c r="E17" s="4"/>
      <c r="F17" s="4"/>
      <c r="G17" s="4">
        <v>15</v>
      </c>
      <c r="H17" s="4">
        <v>15</v>
      </c>
    </row>
    <row r="18" spans="1:8" x14ac:dyDescent="0.35">
      <c r="D18" t="s">
        <v>11</v>
      </c>
      <c r="E18" s="4"/>
      <c r="F18" s="4">
        <v>7</v>
      </c>
      <c r="G18" s="4"/>
      <c r="H18" s="4">
        <v>7</v>
      </c>
    </row>
    <row r="19" spans="1:8" x14ac:dyDescent="0.35">
      <c r="B19" t="s">
        <v>46</v>
      </c>
      <c r="C19" t="s">
        <v>7</v>
      </c>
      <c r="D19" t="s">
        <v>8</v>
      </c>
      <c r="E19" s="4"/>
      <c r="F19" s="4">
        <v>2</v>
      </c>
      <c r="G19" s="4">
        <v>2</v>
      </c>
      <c r="H19" s="4">
        <v>2</v>
      </c>
    </row>
    <row r="20" spans="1:8" x14ac:dyDescent="0.35">
      <c r="D20" t="s">
        <v>11</v>
      </c>
      <c r="E20" s="4"/>
      <c r="F20" s="4"/>
      <c r="G20" s="4">
        <v>3</v>
      </c>
      <c r="H20" s="4">
        <v>3</v>
      </c>
    </row>
    <row r="21" spans="1:8" x14ac:dyDescent="0.35">
      <c r="C21" t="s">
        <v>13</v>
      </c>
      <c r="D21" t="s">
        <v>8</v>
      </c>
      <c r="E21" s="4"/>
      <c r="F21" s="4"/>
      <c r="G21" s="4">
        <v>4</v>
      </c>
      <c r="H21" s="4">
        <v>4</v>
      </c>
    </row>
    <row r="22" spans="1:8" x14ac:dyDescent="0.35">
      <c r="D22" t="s">
        <v>11</v>
      </c>
      <c r="E22" s="4"/>
      <c r="F22" s="4">
        <v>3</v>
      </c>
      <c r="G22" s="4"/>
      <c r="H22" s="4">
        <v>3</v>
      </c>
    </row>
    <row r="23" spans="1:8" x14ac:dyDescent="0.35">
      <c r="B23" t="s">
        <v>51</v>
      </c>
      <c r="C23" t="s">
        <v>7</v>
      </c>
      <c r="D23" t="s">
        <v>8</v>
      </c>
      <c r="E23" s="4"/>
      <c r="F23" s="4">
        <v>1</v>
      </c>
      <c r="G23" s="4">
        <v>1</v>
      </c>
      <c r="H23" s="4">
        <v>2</v>
      </c>
    </row>
    <row r="24" spans="1:8" x14ac:dyDescent="0.35">
      <c r="D24" t="s">
        <v>11</v>
      </c>
      <c r="E24" s="4"/>
      <c r="F24" s="4"/>
      <c r="G24" s="4">
        <v>1</v>
      </c>
      <c r="H24" s="4">
        <v>1</v>
      </c>
    </row>
    <row r="25" spans="1:8" x14ac:dyDescent="0.35">
      <c r="C25" t="s">
        <v>13</v>
      </c>
      <c r="D25" t="s">
        <v>8</v>
      </c>
      <c r="E25" s="4"/>
      <c r="F25" s="4"/>
      <c r="G25" s="4">
        <v>1</v>
      </c>
      <c r="H25" s="4">
        <v>1</v>
      </c>
    </row>
    <row r="26" spans="1:8" x14ac:dyDescent="0.35">
      <c r="D26" t="s">
        <v>11</v>
      </c>
      <c r="E26" s="4"/>
      <c r="F26" s="4">
        <v>1</v>
      </c>
      <c r="G26" s="4"/>
      <c r="H26" s="4">
        <v>1</v>
      </c>
    </row>
    <row r="27" spans="1:8" x14ac:dyDescent="0.35">
      <c r="A27" t="s">
        <v>13</v>
      </c>
      <c r="B27" t="s">
        <v>20</v>
      </c>
      <c r="C27" t="s">
        <v>7</v>
      </c>
      <c r="D27" t="s">
        <v>8</v>
      </c>
      <c r="E27" s="4"/>
      <c r="F27" s="4">
        <v>4</v>
      </c>
      <c r="G27" s="4"/>
      <c r="H27" s="4">
        <v>4</v>
      </c>
    </row>
    <row r="28" spans="1:8" x14ac:dyDescent="0.35">
      <c r="C28" t="s">
        <v>14</v>
      </c>
      <c r="D28" t="s">
        <v>15</v>
      </c>
      <c r="E28" s="4"/>
      <c r="F28" s="4"/>
      <c r="G28" s="4"/>
      <c r="H28" s="4"/>
    </row>
    <row r="29" spans="1:8" x14ac:dyDescent="0.35">
      <c r="B29" t="s">
        <v>46</v>
      </c>
      <c r="C29" t="s">
        <v>7</v>
      </c>
      <c r="D29" t="s">
        <v>8</v>
      </c>
      <c r="E29" s="4"/>
      <c r="F29" s="4">
        <v>2</v>
      </c>
      <c r="G29" s="4"/>
      <c r="H29" s="4">
        <v>2</v>
      </c>
    </row>
    <row r="30" spans="1:8" x14ac:dyDescent="0.35">
      <c r="C30" t="s">
        <v>14</v>
      </c>
      <c r="D30" t="s">
        <v>15</v>
      </c>
      <c r="E30" s="4">
        <v>5</v>
      </c>
      <c r="F30" s="4"/>
      <c r="G30" s="4"/>
      <c r="H30" s="4">
        <v>5</v>
      </c>
    </row>
    <row r="31" spans="1:8" x14ac:dyDescent="0.35">
      <c r="B31" t="s">
        <v>51</v>
      </c>
      <c r="C31" t="s">
        <v>7</v>
      </c>
      <c r="D31" t="s">
        <v>8</v>
      </c>
      <c r="E31" s="4"/>
      <c r="F31" s="4">
        <v>1</v>
      </c>
      <c r="G31" s="4"/>
      <c r="H31" s="4">
        <v>1</v>
      </c>
    </row>
    <row r="32" spans="1:8" x14ac:dyDescent="0.35">
      <c r="C32" t="s">
        <v>14</v>
      </c>
      <c r="D32" t="s">
        <v>15</v>
      </c>
      <c r="E32" s="4"/>
      <c r="F32" s="4"/>
      <c r="G32" s="4"/>
      <c r="H32" s="4"/>
    </row>
    <row r="33" spans="1:8" x14ac:dyDescent="0.35">
      <c r="A33" t="s">
        <v>44</v>
      </c>
      <c r="E33" s="4"/>
      <c r="F33" s="4">
        <v>29</v>
      </c>
      <c r="G33" s="4">
        <v>41</v>
      </c>
      <c r="H33" s="4">
        <v>70</v>
      </c>
    </row>
    <row r="34" spans="1:8" x14ac:dyDescent="0.35">
      <c r="A34" t="s">
        <v>45</v>
      </c>
      <c r="E34" s="4">
        <v>5</v>
      </c>
      <c r="F34" s="4">
        <v>2.6666666666666665</v>
      </c>
      <c r="G34" s="4">
        <v>2.2000000000000002</v>
      </c>
      <c r="H34" s="4">
        <v>2.6666666666666665</v>
      </c>
    </row>
    <row r="35" spans="1:8" x14ac:dyDescent="0.35">
      <c r="A35" t="s">
        <v>50</v>
      </c>
      <c r="E35" s="4"/>
      <c r="F35" s="4">
        <v>6</v>
      </c>
      <c r="G35" s="4">
        <v>5</v>
      </c>
      <c r="H35" s="4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0743-ACAA-4F32-B309-3894A2F322C6}">
  <dimension ref="A1:J12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4" width="10.1796875" bestFit="1" customWidth="1"/>
    <col min="5" max="5" width="6.36328125" bestFit="1" customWidth="1"/>
    <col min="6" max="7" width="5.7265625" bestFit="1" customWidth="1"/>
    <col min="8" max="8" width="6.36328125" bestFit="1" customWidth="1"/>
    <col min="9" max="9" width="5.90625" bestFit="1" customWidth="1"/>
    <col min="10" max="10" width="6.54296875" bestFit="1" customWidth="1"/>
    <col min="11" max="11" width="10.36328125" bestFit="1" customWidth="1"/>
  </cols>
  <sheetData>
    <row r="1" spans="1:10" x14ac:dyDescent="0.35">
      <c r="A1" s="1" t="s">
        <v>20</v>
      </c>
      <c r="C1" s="1" t="s">
        <v>2</v>
      </c>
      <c r="D1" s="1" t="s">
        <v>3</v>
      </c>
    </row>
    <row r="2" spans="1:10" x14ac:dyDescent="0.35">
      <c r="C2" t="s">
        <v>8</v>
      </c>
      <c r="E2" t="s">
        <v>26</v>
      </c>
      <c r="F2" t="s">
        <v>11</v>
      </c>
      <c r="H2" t="s">
        <v>27</v>
      </c>
      <c r="I2" t="s">
        <v>15</v>
      </c>
      <c r="J2" t="s">
        <v>28</v>
      </c>
    </row>
    <row r="3" spans="1:10" x14ac:dyDescent="0.35">
      <c r="A3" s="1" t="s">
        <v>0</v>
      </c>
      <c r="B3" s="1" t="s">
        <v>1</v>
      </c>
      <c r="C3" t="s">
        <v>9</v>
      </c>
      <c r="D3" t="s">
        <v>12</v>
      </c>
      <c r="F3" t="s">
        <v>9</v>
      </c>
      <c r="G3" t="s">
        <v>12</v>
      </c>
      <c r="I3" t="s">
        <v>16</v>
      </c>
    </row>
    <row r="4" spans="1:10" x14ac:dyDescent="0.35">
      <c r="A4" t="s">
        <v>6</v>
      </c>
      <c r="B4" t="s">
        <v>7</v>
      </c>
      <c r="C4" s="4">
        <v>13</v>
      </c>
      <c r="D4" s="4"/>
      <c r="E4" s="4">
        <v>13</v>
      </c>
      <c r="F4" s="4"/>
      <c r="G4" s="4">
        <v>-2</v>
      </c>
      <c r="H4" s="4">
        <v>-2</v>
      </c>
      <c r="I4" s="4"/>
      <c r="J4" s="4"/>
    </row>
    <row r="5" spans="1:10" x14ac:dyDescent="0.35">
      <c r="B5" t="s">
        <v>13</v>
      </c>
      <c r="C5" s="4"/>
      <c r="D5" s="4">
        <v>0</v>
      </c>
      <c r="E5" s="4">
        <v>0</v>
      </c>
      <c r="F5" s="4">
        <v>5</v>
      </c>
      <c r="G5" s="4"/>
      <c r="H5" s="4">
        <v>5</v>
      </c>
      <c r="I5" s="4"/>
      <c r="J5" s="4"/>
    </row>
    <row r="6" spans="1:10" x14ac:dyDescent="0.35">
      <c r="A6" t="s">
        <v>21</v>
      </c>
      <c r="C6" s="4">
        <v>13</v>
      </c>
      <c r="D6" s="4">
        <v>0</v>
      </c>
      <c r="E6" s="4">
        <v>13</v>
      </c>
      <c r="F6" s="4">
        <v>5</v>
      </c>
      <c r="G6" s="4">
        <v>-2</v>
      </c>
      <c r="H6" s="4">
        <v>3</v>
      </c>
      <c r="I6" s="4"/>
      <c r="J6" s="4"/>
    </row>
    <row r="7" spans="1:10" x14ac:dyDescent="0.35">
      <c r="A7" t="s">
        <v>10</v>
      </c>
      <c r="B7" t="s">
        <v>7</v>
      </c>
      <c r="C7" s="4">
        <v>0</v>
      </c>
      <c r="D7" s="4">
        <v>8</v>
      </c>
      <c r="E7" s="4">
        <v>8</v>
      </c>
      <c r="F7" s="4"/>
      <c r="G7" s="4">
        <v>20</v>
      </c>
      <c r="H7" s="4">
        <v>20</v>
      </c>
      <c r="I7" s="4"/>
      <c r="J7" s="4"/>
    </row>
    <row r="8" spans="1:10" x14ac:dyDescent="0.35">
      <c r="B8" t="s">
        <v>13</v>
      </c>
      <c r="C8" s="4"/>
      <c r="D8" s="4">
        <v>15</v>
      </c>
      <c r="E8" s="4">
        <v>15</v>
      </c>
      <c r="F8" s="4">
        <v>7</v>
      </c>
      <c r="G8" s="4"/>
      <c r="H8" s="4">
        <v>7</v>
      </c>
      <c r="I8" s="4"/>
      <c r="J8" s="4"/>
    </row>
    <row r="9" spans="1:10" x14ac:dyDescent="0.35">
      <c r="A9" t="s">
        <v>22</v>
      </c>
      <c r="C9" s="4">
        <v>0</v>
      </c>
      <c r="D9" s="4">
        <v>23</v>
      </c>
      <c r="E9" s="4">
        <v>23</v>
      </c>
      <c r="F9" s="4">
        <v>7</v>
      </c>
      <c r="G9" s="4">
        <v>20</v>
      </c>
      <c r="H9" s="4">
        <v>27</v>
      </c>
      <c r="I9" s="4"/>
      <c r="J9" s="4"/>
    </row>
    <row r="10" spans="1:10" x14ac:dyDescent="0.35">
      <c r="A10" t="s">
        <v>13</v>
      </c>
      <c r="B10" t="s">
        <v>7</v>
      </c>
      <c r="C10" s="4">
        <v>4</v>
      </c>
      <c r="D10" s="4"/>
      <c r="E10" s="4">
        <v>4</v>
      </c>
      <c r="F10" s="4"/>
      <c r="G10" s="4"/>
      <c r="H10" s="4"/>
      <c r="I10" s="4"/>
      <c r="J10" s="4"/>
    </row>
    <row r="11" spans="1:10" x14ac:dyDescent="0.35">
      <c r="B11" t="s">
        <v>14</v>
      </c>
      <c r="C11" s="4"/>
      <c r="D11" s="4"/>
      <c r="E11" s="4"/>
      <c r="F11" s="4"/>
      <c r="G11" s="4"/>
      <c r="H11" s="4"/>
      <c r="I11" s="4"/>
      <c r="J11" s="4"/>
    </row>
    <row r="12" spans="1:10" x14ac:dyDescent="0.35">
      <c r="A12" t="s">
        <v>23</v>
      </c>
      <c r="C12" s="4">
        <v>4</v>
      </c>
      <c r="D12" s="4"/>
      <c r="E12" s="4">
        <v>4</v>
      </c>
      <c r="F12" s="4"/>
      <c r="G12" s="4"/>
      <c r="H12" s="4"/>
      <c r="I12" s="4"/>
      <c r="J1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C388-394A-44A0-ABB7-9A1C080409F3}">
  <dimension ref="A1:T22"/>
  <sheetViews>
    <sheetView workbookViewId="0"/>
  </sheetViews>
  <sheetFormatPr defaultRowHeight="14.5" x14ac:dyDescent="0.35"/>
  <cols>
    <col min="1" max="1" width="14.54296875" bestFit="1" customWidth="1"/>
    <col min="2" max="2" width="13.453125" bestFit="1" customWidth="1"/>
    <col min="3" max="4" width="11.81640625" bestFit="1" customWidth="1"/>
    <col min="5" max="5" width="6.08984375" bestFit="1" customWidth="1"/>
    <col min="6" max="6" width="8.81640625" bestFit="1" customWidth="1"/>
    <col min="7" max="8" width="5.7265625" bestFit="1" customWidth="1"/>
    <col min="9" max="9" width="6.08984375" bestFit="1" customWidth="1"/>
    <col min="10" max="10" width="8.81640625" bestFit="1" customWidth="1"/>
    <col min="11" max="11" width="5.90625" bestFit="1" customWidth="1"/>
    <col min="12" max="12" width="6.26953125" bestFit="1" customWidth="1"/>
    <col min="13" max="13" width="9" bestFit="1" customWidth="1"/>
    <col min="14" max="19" width="12.90625" bestFit="1" customWidth="1"/>
    <col min="20" max="20" width="11.81640625" bestFit="1" customWidth="1"/>
  </cols>
  <sheetData>
    <row r="1" spans="1:20" x14ac:dyDescent="0.35">
      <c r="A1" s="1" t="s">
        <v>20</v>
      </c>
      <c r="C1" s="1" t="s">
        <v>2</v>
      </c>
      <c r="D1" s="1" t="s">
        <v>3</v>
      </c>
    </row>
    <row r="2" spans="1:20" x14ac:dyDescent="0.35">
      <c r="C2" t="s">
        <v>8</v>
      </c>
      <c r="E2" t="s">
        <v>72</v>
      </c>
      <c r="F2" t="s">
        <v>86</v>
      </c>
      <c r="G2" t="s">
        <v>11</v>
      </c>
      <c r="I2" t="s">
        <v>73</v>
      </c>
      <c r="J2" t="s">
        <v>87</v>
      </c>
      <c r="K2" t="s">
        <v>15</v>
      </c>
      <c r="L2" t="s">
        <v>74</v>
      </c>
      <c r="M2" t="s">
        <v>88</v>
      </c>
      <c r="T2" t="s">
        <v>19</v>
      </c>
    </row>
    <row r="3" spans="1:20" x14ac:dyDescent="0.35">
      <c r="A3" s="1" t="s">
        <v>0</v>
      </c>
      <c r="B3" s="1" t="s">
        <v>1</v>
      </c>
      <c r="C3" t="s">
        <v>9</v>
      </c>
      <c r="D3" t="s">
        <v>12</v>
      </c>
      <c r="G3" t="s">
        <v>9</v>
      </c>
      <c r="H3" t="s">
        <v>12</v>
      </c>
      <c r="K3" t="s">
        <v>16</v>
      </c>
      <c r="N3" t="s">
        <v>75</v>
      </c>
      <c r="O3" t="s">
        <v>89</v>
      </c>
      <c r="P3" t="s">
        <v>76</v>
      </c>
      <c r="Q3" t="s">
        <v>90</v>
      </c>
      <c r="R3" t="s">
        <v>77</v>
      </c>
      <c r="S3" t="s">
        <v>91</v>
      </c>
    </row>
    <row r="4" spans="1:20" x14ac:dyDescent="0.35">
      <c r="A4" t="s">
        <v>6</v>
      </c>
      <c r="B4" t="s">
        <v>7</v>
      </c>
      <c r="C4" s="4">
        <v>13</v>
      </c>
      <c r="D4" s="4"/>
      <c r="E4" s="4">
        <v>13</v>
      </c>
      <c r="F4" s="4">
        <v>6.5</v>
      </c>
      <c r="G4" s="4"/>
      <c r="H4" s="4">
        <v>-2</v>
      </c>
      <c r="I4" s="4">
        <v>-2</v>
      </c>
      <c r="J4" s="4">
        <v>-2</v>
      </c>
      <c r="K4" s="4"/>
      <c r="L4" s="4"/>
      <c r="M4" s="4"/>
      <c r="N4" s="4"/>
      <c r="O4" s="4"/>
      <c r="P4" s="4">
        <v>13</v>
      </c>
      <c r="Q4" s="4">
        <v>6.5</v>
      </c>
      <c r="R4" s="4">
        <v>-2</v>
      </c>
      <c r="S4" s="4">
        <v>-2</v>
      </c>
      <c r="T4" s="4">
        <v>11</v>
      </c>
    </row>
    <row r="5" spans="1:20" x14ac:dyDescent="0.35">
      <c r="B5" t="s">
        <v>13</v>
      </c>
      <c r="C5" s="4"/>
      <c r="D5" s="4">
        <v>0</v>
      </c>
      <c r="E5" s="4">
        <v>0</v>
      </c>
      <c r="F5" s="4" t="e">
        <v>#DIV/0!</v>
      </c>
      <c r="G5" s="4">
        <v>5</v>
      </c>
      <c r="H5" s="4"/>
      <c r="I5" s="4">
        <v>5</v>
      </c>
      <c r="J5" s="4">
        <v>5</v>
      </c>
      <c r="K5" s="4"/>
      <c r="L5" s="4"/>
      <c r="M5" s="4"/>
      <c r="N5" s="4"/>
      <c r="O5" s="4"/>
      <c r="P5" s="4">
        <v>5</v>
      </c>
      <c r="Q5" s="4">
        <v>5</v>
      </c>
      <c r="R5" s="4">
        <v>0</v>
      </c>
      <c r="S5" s="4" t="e">
        <v>#DIV/0!</v>
      </c>
      <c r="T5" s="4">
        <v>5</v>
      </c>
    </row>
    <row r="6" spans="1:20" x14ac:dyDescent="0.35">
      <c r="A6" t="s">
        <v>78</v>
      </c>
      <c r="C6" s="4">
        <v>13</v>
      </c>
      <c r="D6" s="4">
        <v>0</v>
      </c>
      <c r="E6" s="4">
        <v>13</v>
      </c>
      <c r="F6" s="4"/>
      <c r="G6" s="4">
        <v>5</v>
      </c>
      <c r="H6" s="4">
        <v>-2</v>
      </c>
      <c r="I6" s="4">
        <v>3</v>
      </c>
      <c r="J6" s="4"/>
      <c r="K6" s="4"/>
      <c r="L6" s="4"/>
      <c r="M6" s="4"/>
      <c r="N6" s="4"/>
      <c r="O6" s="4"/>
      <c r="P6" s="4">
        <v>18</v>
      </c>
      <c r="Q6" s="4"/>
      <c r="R6" s="4">
        <v>-2</v>
      </c>
      <c r="S6" s="4"/>
      <c r="T6" s="4">
        <v>16</v>
      </c>
    </row>
    <row r="7" spans="1:20" x14ac:dyDescent="0.35">
      <c r="A7" t="s">
        <v>81</v>
      </c>
      <c r="C7" s="4">
        <v>6.5</v>
      </c>
      <c r="D7" s="4" t="e">
        <v>#DIV/0!</v>
      </c>
      <c r="E7" s="4"/>
      <c r="F7" s="4">
        <v>6.5</v>
      </c>
      <c r="G7" s="4">
        <v>5</v>
      </c>
      <c r="H7" s="4">
        <v>-2</v>
      </c>
      <c r="I7" s="4"/>
      <c r="J7" s="4">
        <v>1.5</v>
      </c>
      <c r="K7" s="4"/>
      <c r="L7" s="4"/>
      <c r="M7" s="4"/>
      <c r="N7" s="4"/>
      <c r="O7" s="4"/>
      <c r="P7" s="4"/>
      <c r="Q7" s="4">
        <v>6</v>
      </c>
      <c r="R7" s="4"/>
      <c r="S7" s="4">
        <v>-2</v>
      </c>
      <c r="T7" s="4">
        <v>4</v>
      </c>
    </row>
    <row r="8" spans="1:20" x14ac:dyDescent="0.35">
      <c r="A8" t="s">
        <v>10</v>
      </c>
      <c r="B8" t="s">
        <v>7</v>
      </c>
      <c r="C8" s="4">
        <v>0</v>
      </c>
      <c r="D8" s="4">
        <v>8</v>
      </c>
      <c r="E8" s="4">
        <v>8</v>
      </c>
      <c r="F8" s="4">
        <v>8</v>
      </c>
      <c r="G8" s="4"/>
      <c r="H8" s="4">
        <v>20</v>
      </c>
      <c r="I8" s="4">
        <v>20</v>
      </c>
      <c r="J8" s="4">
        <v>20</v>
      </c>
      <c r="K8" s="4"/>
      <c r="L8" s="4"/>
      <c r="M8" s="4"/>
      <c r="N8" s="4"/>
      <c r="O8" s="4"/>
      <c r="P8" s="4">
        <v>0</v>
      </c>
      <c r="Q8" s="4" t="e">
        <v>#DIV/0!</v>
      </c>
      <c r="R8" s="4">
        <v>28</v>
      </c>
      <c r="S8" s="4">
        <v>14</v>
      </c>
      <c r="T8" s="4">
        <v>28</v>
      </c>
    </row>
    <row r="9" spans="1:20" x14ac:dyDescent="0.35">
      <c r="B9" t="s">
        <v>13</v>
      </c>
      <c r="C9" s="4"/>
      <c r="D9" s="4">
        <v>15</v>
      </c>
      <c r="E9" s="4">
        <v>15</v>
      </c>
      <c r="F9" s="4">
        <v>15</v>
      </c>
      <c r="G9" s="4">
        <v>7</v>
      </c>
      <c r="H9" s="4"/>
      <c r="I9" s="4">
        <v>7</v>
      </c>
      <c r="J9" s="4">
        <v>7</v>
      </c>
      <c r="K9" s="4"/>
      <c r="L9" s="4"/>
      <c r="M9" s="4"/>
      <c r="N9" s="4"/>
      <c r="O9" s="4"/>
      <c r="P9" s="4">
        <v>7</v>
      </c>
      <c r="Q9" s="4">
        <v>7</v>
      </c>
      <c r="R9" s="4">
        <v>15</v>
      </c>
      <c r="S9" s="4">
        <v>15</v>
      </c>
      <c r="T9" s="4">
        <v>22</v>
      </c>
    </row>
    <row r="10" spans="1:20" x14ac:dyDescent="0.35">
      <c r="A10" t="s">
        <v>79</v>
      </c>
      <c r="C10" s="4">
        <v>0</v>
      </c>
      <c r="D10" s="4">
        <v>23</v>
      </c>
      <c r="E10" s="4">
        <v>23</v>
      </c>
      <c r="F10" s="4"/>
      <c r="G10" s="4">
        <v>7</v>
      </c>
      <c r="H10" s="4">
        <v>20</v>
      </c>
      <c r="I10" s="4">
        <v>27</v>
      </c>
      <c r="J10" s="4"/>
      <c r="K10" s="4"/>
      <c r="L10" s="4"/>
      <c r="M10" s="4"/>
      <c r="N10" s="4"/>
      <c r="O10" s="4"/>
      <c r="P10" s="4">
        <v>7</v>
      </c>
      <c r="Q10" s="4"/>
      <c r="R10" s="4">
        <v>43</v>
      </c>
      <c r="S10" s="4"/>
      <c r="T10" s="4">
        <v>50</v>
      </c>
    </row>
    <row r="11" spans="1:20" x14ac:dyDescent="0.35">
      <c r="A11" t="s">
        <v>82</v>
      </c>
      <c r="C11" s="4" t="e">
        <v>#DIV/0!</v>
      </c>
      <c r="D11" s="4">
        <v>11.5</v>
      </c>
      <c r="E11" s="4"/>
      <c r="F11" s="4">
        <v>11.5</v>
      </c>
      <c r="G11" s="4">
        <v>7</v>
      </c>
      <c r="H11" s="4">
        <v>20</v>
      </c>
      <c r="I11" s="4"/>
      <c r="J11" s="4">
        <v>13.5</v>
      </c>
      <c r="K11" s="4"/>
      <c r="L11" s="4"/>
      <c r="M11" s="4"/>
      <c r="N11" s="4"/>
      <c r="O11" s="4"/>
      <c r="P11" s="4"/>
      <c r="Q11" s="4">
        <v>7</v>
      </c>
      <c r="R11" s="4"/>
      <c r="S11" s="4">
        <v>14.333333333333334</v>
      </c>
      <c r="T11" s="4">
        <v>12.5</v>
      </c>
    </row>
    <row r="12" spans="1:20" x14ac:dyDescent="0.35">
      <c r="A12" t="s">
        <v>13</v>
      </c>
      <c r="B12" t="s">
        <v>7</v>
      </c>
      <c r="C12" s="4">
        <v>4</v>
      </c>
      <c r="D12" s="4"/>
      <c r="E12" s="4">
        <v>4</v>
      </c>
      <c r="F12" s="4">
        <v>4</v>
      </c>
      <c r="G12" s="4"/>
      <c r="H12" s="4"/>
      <c r="I12" s="4"/>
      <c r="J12" s="4"/>
      <c r="K12" s="4"/>
      <c r="L12" s="4"/>
      <c r="M12" s="4"/>
      <c r="N12" s="4"/>
      <c r="O12" s="4"/>
      <c r="P12" s="4">
        <v>4</v>
      </c>
      <c r="Q12" s="4">
        <v>4</v>
      </c>
      <c r="R12" s="4"/>
      <c r="S12" s="4"/>
      <c r="T12" s="4">
        <v>4</v>
      </c>
    </row>
    <row r="13" spans="1:20" x14ac:dyDescent="0.35">
      <c r="B13" t="s">
        <v>14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35">
      <c r="A14" t="s">
        <v>71</v>
      </c>
      <c r="C14" s="4">
        <v>4</v>
      </c>
      <c r="D14" s="4"/>
      <c r="E14" s="4">
        <v>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>
        <v>4</v>
      </c>
      <c r="Q14" s="4"/>
      <c r="R14" s="4"/>
      <c r="S14" s="4"/>
      <c r="T14" s="4">
        <v>4</v>
      </c>
    </row>
    <row r="15" spans="1:20" x14ac:dyDescent="0.35">
      <c r="A15" t="s">
        <v>83</v>
      </c>
      <c r="C15" s="4">
        <v>4</v>
      </c>
      <c r="D15" s="4"/>
      <c r="E15" s="4"/>
      <c r="F15" s="4">
        <v>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>
        <v>4</v>
      </c>
      <c r="R15" s="4"/>
      <c r="S15" s="4"/>
      <c r="T15" s="4">
        <v>4</v>
      </c>
    </row>
    <row r="16" spans="1:20" x14ac:dyDescent="0.35">
      <c r="B16" t="s">
        <v>69</v>
      </c>
      <c r="C16" s="4">
        <v>17</v>
      </c>
      <c r="D16" s="4">
        <v>8</v>
      </c>
      <c r="E16" s="4">
        <v>25</v>
      </c>
      <c r="F16" s="4"/>
      <c r="G16" s="4"/>
      <c r="H16" s="4">
        <v>18</v>
      </c>
      <c r="I16" s="4">
        <v>18</v>
      </c>
      <c r="J16" s="4"/>
      <c r="K16" s="4"/>
      <c r="L16" s="4"/>
      <c r="M16" s="4"/>
      <c r="N16" s="4"/>
      <c r="O16" s="4"/>
      <c r="P16" s="4">
        <v>17</v>
      </c>
      <c r="Q16" s="4"/>
      <c r="R16" s="4">
        <v>26</v>
      </c>
      <c r="S16" s="4"/>
      <c r="T16" s="4">
        <v>43</v>
      </c>
    </row>
    <row r="17" spans="1:20" x14ac:dyDescent="0.35">
      <c r="B17" t="s">
        <v>84</v>
      </c>
      <c r="C17" s="4">
        <v>5.666666666666667</v>
      </c>
      <c r="D17" s="4">
        <v>8</v>
      </c>
      <c r="E17" s="4"/>
      <c r="F17" s="4">
        <v>6.25</v>
      </c>
      <c r="G17" s="4"/>
      <c r="H17" s="4">
        <v>9</v>
      </c>
      <c r="I17" s="4"/>
      <c r="J17" s="4">
        <v>9</v>
      </c>
      <c r="K17" s="4"/>
      <c r="L17" s="4"/>
      <c r="M17" s="4"/>
      <c r="N17" s="4"/>
      <c r="O17" s="4"/>
      <c r="P17" s="4"/>
      <c r="Q17" s="4">
        <v>5.666666666666667</v>
      </c>
      <c r="R17" s="4"/>
      <c r="S17" s="4">
        <v>8.6666666666666661</v>
      </c>
      <c r="T17" s="4">
        <v>7.166666666666667</v>
      </c>
    </row>
    <row r="18" spans="1:20" x14ac:dyDescent="0.35">
      <c r="B18" t="s">
        <v>70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35">
      <c r="B19" t="s">
        <v>85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35">
      <c r="B20" t="s">
        <v>71</v>
      </c>
      <c r="C20" s="4"/>
      <c r="D20" s="4">
        <v>15</v>
      </c>
      <c r="E20" s="4">
        <v>15</v>
      </c>
      <c r="F20" s="4"/>
      <c r="G20" s="4">
        <v>12</v>
      </c>
      <c r="H20" s="4"/>
      <c r="I20" s="4">
        <v>12</v>
      </c>
      <c r="J20" s="4"/>
      <c r="K20" s="4"/>
      <c r="L20" s="4"/>
      <c r="M20" s="4"/>
      <c r="N20" s="4"/>
      <c r="O20" s="4"/>
      <c r="P20" s="4">
        <v>12</v>
      </c>
      <c r="Q20" s="4"/>
      <c r="R20" s="4">
        <v>15</v>
      </c>
      <c r="S20" s="4"/>
      <c r="T20" s="4">
        <v>27</v>
      </c>
    </row>
    <row r="21" spans="1:20" x14ac:dyDescent="0.35">
      <c r="B21" t="s">
        <v>83</v>
      </c>
      <c r="C21" s="4"/>
      <c r="D21" s="4">
        <v>15</v>
      </c>
      <c r="E21" s="4"/>
      <c r="F21" s="4">
        <v>15</v>
      </c>
      <c r="G21" s="4">
        <v>6</v>
      </c>
      <c r="H21" s="4"/>
      <c r="I21" s="4"/>
      <c r="J21" s="4">
        <v>6</v>
      </c>
      <c r="K21" s="4"/>
      <c r="L21" s="4"/>
      <c r="M21" s="4"/>
      <c r="N21" s="4"/>
      <c r="O21" s="4"/>
      <c r="P21" s="4"/>
      <c r="Q21" s="4">
        <v>6</v>
      </c>
      <c r="R21" s="4"/>
      <c r="S21" s="4">
        <v>15</v>
      </c>
      <c r="T21" s="4">
        <v>9</v>
      </c>
    </row>
    <row r="22" spans="1:20" x14ac:dyDescent="0.35">
      <c r="A22" t="s">
        <v>19</v>
      </c>
      <c r="C22" s="4">
        <v>17</v>
      </c>
      <c r="D22" s="4">
        <v>23</v>
      </c>
      <c r="E22" s="4">
        <v>40</v>
      </c>
      <c r="F22" s="4">
        <v>8</v>
      </c>
      <c r="G22" s="4">
        <v>12</v>
      </c>
      <c r="H22" s="4">
        <v>18</v>
      </c>
      <c r="I22" s="4">
        <v>30</v>
      </c>
      <c r="J22" s="4">
        <v>7.5</v>
      </c>
      <c r="K22" s="4"/>
      <c r="L22" s="4"/>
      <c r="M22" s="4"/>
      <c r="N22" s="4"/>
      <c r="O22" s="4"/>
      <c r="P22" s="4">
        <v>29</v>
      </c>
      <c r="Q22" s="4">
        <v>5.8</v>
      </c>
      <c r="R22" s="4">
        <v>41</v>
      </c>
      <c r="S22" s="4">
        <v>10.25</v>
      </c>
      <c r="T22" s="4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3714-CAE8-42D0-80D2-09B1DF7A3E40}">
  <dimension ref="A1:N16"/>
  <sheetViews>
    <sheetView workbookViewId="0"/>
  </sheetViews>
  <sheetFormatPr defaultRowHeight="14.5" x14ac:dyDescent="0.35"/>
  <cols>
    <col min="1" max="1" width="12.453125" bestFit="1" customWidth="1"/>
    <col min="2" max="2" width="10.453125" bestFit="1" customWidth="1"/>
    <col min="3" max="4" width="10.1796875" bestFit="1" customWidth="1"/>
    <col min="5" max="5" width="6.08984375" bestFit="1" customWidth="1"/>
    <col min="6" max="7" width="5.7265625" bestFit="1" customWidth="1"/>
    <col min="8" max="8" width="6.08984375" bestFit="1" customWidth="1"/>
    <col min="9" max="9" width="5.90625" bestFit="1" customWidth="1"/>
    <col min="10" max="10" width="6.26953125" bestFit="1" customWidth="1"/>
    <col min="11" max="13" width="10.08984375" bestFit="1" customWidth="1"/>
    <col min="14" max="14" width="10.36328125" bestFit="1" customWidth="1"/>
  </cols>
  <sheetData>
    <row r="1" spans="1:14" x14ac:dyDescent="0.35">
      <c r="A1" s="1" t="s">
        <v>20</v>
      </c>
      <c r="C1" s="1" t="s">
        <v>2</v>
      </c>
      <c r="D1" s="1" t="s">
        <v>3</v>
      </c>
    </row>
    <row r="2" spans="1:14" x14ac:dyDescent="0.35">
      <c r="C2" t="s">
        <v>8</v>
      </c>
      <c r="E2" t="s">
        <v>72</v>
      </c>
      <c r="F2" t="s">
        <v>11</v>
      </c>
      <c r="H2" t="s">
        <v>73</v>
      </c>
      <c r="I2" t="s">
        <v>15</v>
      </c>
      <c r="J2" t="s">
        <v>74</v>
      </c>
      <c r="N2" t="s">
        <v>19</v>
      </c>
    </row>
    <row r="3" spans="1:14" x14ac:dyDescent="0.35">
      <c r="A3" s="1" t="s">
        <v>0</v>
      </c>
      <c r="B3" s="1" t="s">
        <v>1</v>
      </c>
      <c r="C3" t="s">
        <v>9</v>
      </c>
      <c r="D3" t="s">
        <v>12</v>
      </c>
      <c r="F3" t="s">
        <v>9</v>
      </c>
      <c r="G3" t="s">
        <v>12</v>
      </c>
      <c r="I3" t="s">
        <v>16</v>
      </c>
      <c r="K3" t="s">
        <v>75</v>
      </c>
      <c r="L3" t="s">
        <v>76</v>
      </c>
      <c r="M3" t="s">
        <v>77</v>
      </c>
    </row>
    <row r="4" spans="1:14" x14ac:dyDescent="0.35">
      <c r="A4" t="s">
        <v>6</v>
      </c>
      <c r="B4" t="s">
        <v>7</v>
      </c>
      <c r="C4" s="4">
        <v>13</v>
      </c>
      <c r="D4" s="4"/>
      <c r="E4" s="4">
        <v>13</v>
      </c>
      <c r="F4" s="4"/>
      <c r="G4" s="4">
        <v>-2</v>
      </c>
      <c r="H4" s="4">
        <v>-2</v>
      </c>
      <c r="I4" s="4"/>
      <c r="J4" s="4"/>
      <c r="K4" s="4"/>
      <c r="L4" s="4">
        <v>13</v>
      </c>
      <c r="M4" s="4">
        <v>-2</v>
      </c>
      <c r="N4" s="4">
        <v>11</v>
      </c>
    </row>
    <row r="5" spans="1:14" x14ac:dyDescent="0.35">
      <c r="B5" t="s">
        <v>13</v>
      </c>
      <c r="C5" s="4"/>
      <c r="D5" s="4">
        <v>0</v>
      </c>
      <c r="E5" s="4">
        <v>0</v>
      </c>
      <c r="F5" s="4">
        <v>5</v>
      </c>
      <c r="G5" s="4"/>
      <c r="H5" s="4">
        <v>5</v>
      </c>
      <c r="I5" s="4"/>
      <c r="J5" s="4"/>
      <c r="K5" s="4"/>
      <c r="L5" s="4">
        <v>5</v>
      </c>
      <c r="M5" s="4">
        <v>0</v>
      </c>
      <c r="N5" s="4">
        <v>5</v>
      </c>
    </row>
    <row r="6" spans="1:14" x14ac:dyDescent="0.35">
      <c r="A6" t="s">
        <v>78</v>
      </c>
      <c r="C6" s="4">
        <v>13</v>
      </c>
      <c r="D6" s="4">
        <v>0</v>
      </c>
      <c r="E6" s="4">
        <v>13</v>
      </c>
      <c r="F6" s="4">
        <v>5</v>
      </c>
      <c r="G6" s="4">
        <v>-2</v>
      </c>
      <c r="H6" s="4">
        <v>3</v>
      </c>
      <c r="I6" s="4"/>
      <c r="J6" s="4"/>
      <c r="K6" s="4"/>
      <c r="L6" s="4">
        <v>18</v>
      </c>
      <c r="M6" s="4">
        <v>-2</v>
      </c>
      <c r="N6" s="4">
        <v>16</v>
      </c>
    </row>
    <row r="7" spans="1:14" x14ac:dyDescent="0.35">
      <c r="A7" t="s">
        <v>10</v>
      </c>
      <c r="B7" t="s">
        <v>7</v>
      </c>
      <c r="C7" s="4">
        <v>0</v>
      </c>
      <c r="D7" s="4">
        <v>8</v>
      </c>
      <c r="E7" s="4">
        <v>8</v>
      </c>
      <c r="F7" s="4"/>
      <c r="G7" s="4">
        <v>20</v>
      </c>
      <c r="H7" s="4">
        <v>20</v>
      </c>
      <c r="I7" s="4"/>
      <c r="J7" s="4"/>
      <c r="K7" s="4"/>
      <c r="L7" s="4">
        <v>0</v>
      </c>
      <c r="M7" s="4">
        <v>28</v>
      </c>
      <c r="N7" s="4">
        <v>28</v>
      </c>
    </row>
    <row r="8" spans="1:14" x14ac:dyDescent="0.35">
      <c r="B8" t="s">
        <v>13</v>
      </c>
      <c r="C8" s="4"/>
      <c r="D8" s="4">
        <v>15</v>
      </c>
      <c r="E8" s="4">
        <v>15</v>
      </c>
      <c r="F8" s="4">
        <v>7</v>
      </c>
      <c r="G8" s="4"/>
      <c r="H8" s="4">
        <v>7</v>
      </c>
      <c r="I8" s="4"/>
      <c r="J8" s="4"/>
      <c r="K8" s="4"/>
      <c r="L8" s="4">
        <v>7</v>
      </c>
      <c r="M8" s="4">
        <v>15</v>
      </c>
      <c r="N8" s="4">
        <v>22</v>
      </c>
    </row>
    <row r="9" spans="1:14" x14ac:dyDescent="0.35">
      <c r="A9" t="s">
        <v>79</v>
      </c>
      <c r="C9" s="4">
        <v>0</v>
      </c>
      <c r="D9" s="4">
        <v>23</v>
      </c>
      <c r="E9" s="4">
        <v>23</v>
      </c>
      <c r="F9" s="4">
        <v>7</v>
      </c>
      <c r="G9" s="4">
        <v>20</v>
      </c>
      <c r="H9" s="4">
        <v>27</v>
      </c>
      <c r="I9" s="4"/>
      <c r="J9" s="4"/>
      <c r="K9" s="4"/>
      <c r="L9" s="4">
        <v>7</v>
      </c>
      <c r="M9" s="4">
        <v>43</v>
      </c>
      <c r="N9" s="4">
        <v>50</v>
      </c>
    </row>
    <row r="10" spans="1:14" x14ac:dyDescent="0.35">
      <c r="A10" t="s">
        <v>13</v>
      </c>
      <c r="B10" t="s">
        <v>7</v>
      </c>
      <c r="C10" s="4">
        <v>4</v>
      </c>
      <c r="D10" s="4"/>
      <c r="E10" s="4">
        <v>4</v>
      </c>
      <c r="F10" s="4"/>
      <c r="G10" s="4"/>
      <c r="H10" s="4"/>
      <c r="I10" s="4"/>
      <c r="J10" s="4"/>
      <c r="K10" s="4"/>
      <c r="L10" s="4">
        <v>4</v>
      </c>
      <c r="M10" s="4"/>
      <c r="N10" s="4">
        <v>4</v>
      </c>
    </row>
    <row r="11" spans="1:14" x14ac:dyDescent="0.35">
      <c r="B11" t="s">
        <v>14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t="s">
        <v>71</v>
      </c>
      <c r="C12" s="4">
        <v>4</v>
      </c>
      <c r="D12" s="4"/>
      <c r="E12" s="4">
        <v>4</v>
      </c>
      <c r="F12" s="4"/>
      <c r="G12" s="4"/>
      <c r="H12" s="4"/>
      <c r="I12" s="4"/>
      <c r="J12" s="4"/>
      <c r="K12" s="4"/>
      <c r="L12" s="4">
        <v>4</v>
      </c>
      <c r="M12" s="4"/>
      <c r="N12" s="4">
        <v>4</v>
      </c>
    </row>
    <row r="13" spans="1:14" x14ac:dyDescent="0.35">
      <c r="B13" t="s">
        <v>69</v>
      </c>
      <c r="C13" s="4">
        <v>17</v>
      </c>
      <c r="D13" s="4">
        <v>8</v>
      </c>
      <c r="E13" s="4">
        <v>25</v>
      </c>
      <c r="F13" s="4"/>
      <c r="G13" s="4">
        <v>18</v>
      </c>
      <c r="H13" s="4">
        <v>18</v>
      </c>
      <c r="I13" s="4"/>
      <c r="J13" s="4"/>
      <c r="K13" s="4"/>
      <c r="L13" s="4">
        <v>17</v>
      </c>
      <c r="M13" s="4">
        <v>26</v>
      </c>
      <c r="N13" s="4">
        <v>43</v>
      </c>
    </row>
    <row r="14" spans="1:14" x14ac:dyDescent="0.35">
      <c r="B14" t="s">
        <v>70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B15" t="s">
        <v>71</v>
      </c>
      <c r="C15" s="4"/>
      <c r="D15" s="4">
        <v>15</v>
      </c>
      <c r="E15" s="4">
        <v>15</v>
      </c>
      <c r="F15" s="4">
        <v>12</v>
      </c>
      <c r="G15" s="4"/>
      <c r="H15" s="4">
        <v>12</v>
      </c>
      <c r="I15" s="4"/>
      <c r="J15" s="4"/>
      <c r="K15" s="4"/>
      <c r="L15" s="4">
        <v>12</v>
      </c>
      <c r="M15" s="4">
        <v>15</v>
      </c>
      <c r="N15" s="4">
        <v>27</v>
      </c>
    </row>
    <row r="16" spans="1:14" x14ac:dyDescent="0.35">
      <c r="A16" t="s">
        <v>19</v>
      </c>
      <c r="C16" s="4">
        <v>17</v>
      </c>
      <c r="D16" s="4">
        <v>23</v>
      </c>
      <c r="E16" s="4">
        <v>40</v>
      </c>
      <c r="F16" s="4">
        <v>12</v>
      </c>
      <c r="G16" s="4">
        <v>18</v>
      </c>
      <c r="H16" s="4">
        <v>30</v>
      </c>
      <c r="I16" s="4"/>
      <c r="J16" s="4"/>
      <c r="K16" s="4"/>
      <c r="L16" s="4">
        <v>29</v>
      </c>
      <c r="M16" s="4">
        <v>41</v>
      </c>
      <c r="N16" s="4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6902-306D-45E5-A5D3-D70D331BC491}">
  <dimension ref="A1:H10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7" width="10.1796875" bestFit="1" customWidth="1"/>
    <col min="8" max="8" width="10.36328125" bestFit="1" customWidth="1"/>
  </cols>
  <sheetData>
    <row r="1" spans="1:8" x14ac:dyDescent="0.35">
      <c r="A1" s="1" t="s">
        <v>20</v>
      </c>
      <c r="C1" s="1" t="s">
        <v>2</v>
      </c>
      <c r="D1" s="1" t="s">
        <v>3</v>
      </c>
    </row>
    <row r="2" spans="1:8" x14ac:dyDescent="0.35">
      <c r="C2" t="s">
        <v>8</v>
      </c>
      <c r="E2" t="s">
        <v>11</v>
      </c>
      <c r="G2" t="s">
        <v>15</v>
      </c>
      <c r="H2" t="s">
        <v>19</v>
      </c>
    </row>
    <row r="3" spans="1:8" x14ac:dyDescent="0.35">
      <c r="A3" s="1" t="s">
        <v>0</v>
      </c>
      <c r="B3" s="1" t="s">
        <v>1</v>
      </c>
      <c r="C3" t="s">
        <v>9</v>
      </c>
      <c r="D3" t="s">
        <v>12</v>
      </c>
      <c r="E3" t="s">
        <v>9</v>
      </c>
      <c r="F3" t="s">
        <v>12</v>
      </c>
      <c r="G3" t="s">
        <v>16</v>
      </c>
    </row>
    <row r="4" spans="1:8" x14ac:dyDescent="0.35">
      <c r="A4" t="s">
        <v>6</v>
      </c>
      <c r="B4" t="s">
        <v>7</v>
      </c>
      <c r="C4" s="4">
        <v>13</v>
      </c>
      <c r="D4" s="4"/>
      <c r="E4" s="4"/>
      <c r="F4" s="4">
        <v>-2</v>
      </c>
      <c r="G4" s="4"/>
      <c r="H4" s="4">
        <v>11</v>
      </c>
    </row>
    <row r="5" spans="1:8" x14ac:dyDescent="0.35">
      <c r="B5" t="s">
        <v>13</v>
      </c>
      <c r="C5" s="4"/>
      <c r="D5" s="4">
        <v>0</v>
      </c>
      <c r="E5" s="4">
        <v>5</v>
      </c>
      <c r="F5" s="4"/>
      <c r="G5" s="4"/>
      <c r="H5" s="4">
        <v>5</v>
      </c>
    </row>
    <row r="6" spans="1:8" x14ac:dyDescent="0.35">
      <c r="A6" t="s">
        <v>10</v>
      </c>
      <c r="B6" t="s">
        <v>7</v>
      </c>
      <c r="C6" s="4">
        <v>0</v>
      </c>
      <c r="D6" s="4">
        <v>8</v>
      </c>
      <c r="E6" s="4"/>
      <c r="F6" s="4">
        <v>20</v>
      </c>
      <c r="G6" s="4"/>
      <c r="H6" s="4">
        <v>28</v>
      </c>
    </row>
    <row r="7" spans="1:8" x14ac:dyDescent="0.35">
      <c r="B7" t="s">
        <v>13</v>
      </c>
      <c r="C7" s="4"/>
      <c r="D7" s="4">
        <v>15</v>
      </c>
      <c r="E7" s="4">
        <v>7</v>
      </c>
      <c r="F7" s="4"/>
      <c r="G7" s="4"/>
      <c r="H7" s="4">
        <v>22</v>
      </c>
    </row>
    <row r="8" spans="1:8" x14ac:dyDescent="0.35">
      <c r="A8" t="s">
        <v>13</v>
      </c>
      <c r="B8" t="s">
        <v>7</v>
      </c>
      <c r="C8" s="4">
        <v>4</v>
      </c>
      <c r="D8" s="4"/>
      <c r="E8" s="4"/>
      <c r="F8" s="4"/>
      <c r="G8" s="4"/>
      <c r="H8" s="4">
        <v>4</v>
      </c>
    </row>
    <row r="9" spans="1:8" x14ac:dyDescent="0.35">
      <c r="B9" t="s">
        <v>14</v>
      </c>
      <c r="C9" s="4"/>
      <c r="D9" s="4"/>
      <c r="E9" s="4"/>
      <c r="F9" s="4"/>
      <c r="G9" s="4"/>
      <c r="H9" s="4"/>
    </row>
    <row r="10" spans="1:8" x14ac:dyDescent="0.35">
      <c r="A10" t="s">
        <v>19</v>
      </c>
      <c r="C10" s="4">
        <v>17</v>
      </c>
      <c r="D10" s="4">
        <v>23</v>
      </c>
      <c r="E10" s="4">
        <v>12</v>
      </c>
      <c r="F10" s="4">
        <v>18</v>
      </c>
      <c r="G10" s="4"/>
      <c r="H10" s="4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0CCE-2242-4B8B-9EC5-0053523547FB}">
  <dimension ref="A1:L33"/>
  <sheetViews>
    <sheetView workbookViewId="0"/>
  </sheetViews>
  <sheetFormatPr defaultRowHeight="14.5" x14ac:dyDescent="0.35"/>
  <cols>
    <col min="1" max="1" width="12.6328125" bestFit="1" customWidth="1"/>
    <col min="2" max="2" width="15.6328125" bestFit="1" customWidth="1"/>
    <col min="3" max="3" width="6.54296875" bestFit="1" customWidth="1"/>
    <col min="4" max="6" width="11.81640625" bestFit="1" customWidth="1"/>
    <col min="7" max="8" width="5.7265625" bestFit="1" customWidth="1"/>
    <col min="9" max="9" width="6.36328125" bestFit="1" customWidth="1"/>
    <col min="10" max="10" width="5.90625" bestFit="1" customWidth="1"/>
    <col min="11" max="11" width="6.54296875" bestFit="1" customWidth="1"/>
    <col min="12" max="12" width="11.81640625" bestFit="1" customWidth="1"/>
    <col min="13" max="13" width="6.6328125" bestFit="1" customWidth="1"/>
    <col min="14" max="14" width="8.08984375" bestFit="1" customWidth="1"/>
    <col min="15" max="15" width="8.1796875" bestFit="1" customWidth="1"/>
    <col min="16" max="16" width="6.6328125" bestFit="1" customWidth="1"/>
    <col min="17" max="17" width="9.54296875" bestFit="1" customWidth="1"/>
    <col min="18" max="18" width="9.6328125" bestFit="1" customWidth="1"/>
    <col min="19" max="20" width="8.08984375" bestFit="1" customWidth="1"/>
    <col min="21" max="21" width="8.1796875" bestFit="1" customWidth="1"/>
    <col min="22" max="22" width="6.6328125" bestFit="1" customWidth="1"/>
    <col min="23" max="23" width="9.7265625" bestFit="1" customWidth="1"/>
    <col min="24" max="24" width="9.81640625" bestFit="1" customWidth="1"/>
    <col min="25" max="25" width="8.26953125" bestFit="1" customWidth="1"/>
    <col min="26" max="26" width="12.54296875" bestFit="1" customWidth="1"/>
    <col min="27" max="27" width="12.6328125" bestFit="1" customWidth="1"/>
    <col min="28" max="28" width="11.08984375" bestFit="1" customWidth="1"/>
  </cols>
  <sheetData>
    <row r="1" spans="1:12" x14ac:dyDescent="0.35">
      <c r="D1" s="1" t="s">
        <v>2</v>
      </c>
      <c r="E1" s="1" t="s">
        <v>3</v>
      </c>
    </row>
    <row r="2" spans="1:12" x14ac:dyDescent="0.35">
      <c r="D2" t="s">
        <v>8</v>
      </c>
      <c r="F2" t="s">
        <v>26</v>
      </c>
      <c r="G2" t="s">
        <v>11</v>
      </c>
      <c r="I2" t="s">
        <v>27</v>
      </c>
      <c r="J2" t="s">
        <v>15</v>
      </c>
      <c r="K2" t="s">
        <v>28</v>
      </c>
      <c r="L2" t="s">
        <v>19</v>
      </c>
    </row>
    <row r="3" spans="1:12" x14ac:dyDescent="0.35">
      <c r="A3" s="1" t="s">
        <v>52</v>
      </c>
      <c r="B3" s="1" t="s">
        <v>0</v>
      </c>
      <c r="C3" s="1" t="s">
        <v>1</v>
      </c>
      <c r="D3" t="s">
        <v>9</v>
      </c>
      <c r="E3" t="s">
        <v>12</v>
      </c>
      <c r="G3" t="s">
        <v>9</v>
      </c>
      <c r="H3" t="s">
        <v>12</v>
      </c>
      <c r="J3" t="s">
        <v>16</v>
      </c>
    </row>
    <row r="4" spans="1:12" x14ac:dyDescent="0.35">
      <c r="A4" t="s">
        <v>20</v>
      </c>
      <c r="B4" t="s">
        <v>6</v>
      </c>
      <c r="C4" t="s">
        <v>7</v>
      </c>
      <c r="D4" s="4">
        <v>13</v>
      </c>
      <c r="E4" s="4"/>
      <c r="F4" s="4">
        <v>13</v>
      </c>
      <c r="G4" s="4"/>
      <c r="H4" s="4">
        <v>-2</v>
      </c>
      <c r="I4" s="4">
        <v>-2</v>
      </c>
      <c r="J4" s="4"/>
      <c r="K4" s="4"/>
      <c r="L4" s="4">
        <v>11</v>
      </c>
    </row>
    <row r="5" spans="1:12" x14ac:dyDescent="0.35">
      <c r="C5" t="s">
        <v>13</v>
      </c>
      <c r="D5" s="4"/>
      <c r="E5" s="4">
        <v>0</v>
      </c>
      <c r="F5" s="4">
        <v>0</v>
      </c>
      <c r="G5" s="4">
        <v>5</v>
      </c>
      <c r="H5" s="4"/>
      <c r="I5" s="4">
        <v>5</v>
      </c>
      <c r="J5" s="4"/>
      <c r="K5" s="4"/>
      <c r="L5" s="4">
        <v>5</v>
      </c>
    </row>
    <row r="6" spans="1:12" x14ac:dyDescent="0.35">
      <c r="B6" t="s">
        <v>21</v>
      </c>
      <c r="D6" s="4">
        <v>13</v>
      </c>
      <c r="E6" s="4">
        <v>0</v>
      </c>
      <c r="F6" s="4">
        <v>13</v>
      </c>
      <c r="G6" s="4">
        <v>5</v>
      </c>
      <c r="H6" s="4">
        <v>-2</v>
      </c>
      <c r="I6" s="4">
        <v>3</v>
      </c>
      <c r="J6" s="4"/>
      <c r="K6" s="4"/>
      <c r="L6" s="4">
        <v>16</v>
      </c>
    </row>
    <row r="7" spans="1:12" x14ac:dyDescent="0.35">
      <c r="B7" t="s">
        <v>10</v>
      </c>
      <c r="C7" t="s">
        <v>7</v>
      </c>
      <c r="D7" s="4">
        <v>0</v>
      </c>
      <c r="E7" s="4">
        <v>8</v>
      </c>
      <c r="F7" s="4">
        <v>8</v>
      </c>
      <c r="G7" s="4"/>
      <c r="H7" s="4">
        <v>20</v>
      </c>
      <c r="I7" s="4">
        <v>20</v>
      </c>
      <c r="J7" s="4"/>
      <c r="K7" s="4"/>
      <c r="L7" s="4">
        <v>28</v>
      </c>
    </row>
    <row r="8" spans="1:12" x14ac:dyDescent="0.35">
      <c r="C8" t="s">
        <v>13</v>
      </c>
      <c r="D8" s="4"/>
      <c r="E8" s="4">
        <v>15</v>
      </c>
      <c r="F8" s="4">
        <v>15</v>
      </c>
      <c r="G8" s="4">
        <v>7</v>
      </c>
      <c r="H8" s="4"/>
      <c r="I8" s="4">
        <v>7</v>
      </c>
      <c r="J8" s="4"/>
      <c r="K8" s="4"/>
      <c r="L8" s="4">
        <v>22</v>
      </c>
    </row>
    <row r="9" spans="1:12" x14ac:dyDescent="0.35">
      <c r="B9" t="s">
        <v>22</v>
      </c>
      <c r="D9" s="4">
        <v>0</v>
      </c>
      <c r="E9" s="4">
        <v>23</v>
      </c>
      <c r="F9" s="4">
        <v>23</v>
      </c>
      <c r="G9" s="4">
        <v>7</v>
      </c>
      <c r="H9" s="4">
        <v>20</v>
      </c>
      <c r="I9" s="4">
        <v>27</v>
      </c>
      <c r="J9" s="4"/>
      <c r="K9" s="4"/>
      <c r="L9" s="4">
        <v>50</v>
      </c>
    </row>
    <row r="10" spans="1:12" x14ac:dyDescent="0.35">
      <c r="B10" t="s">
        <v>13</v>
      </c>
      <c r="C10" t="s">
        <v>7</v>
      </c>
      <c r="D10" s="4">
        <v>4</v>
      </c>
      <c r="E10" s="4"/>
      <c r="F10" s="4">
        <v>4</v>
      </c>
      <c r="G10" s="4"/>
      <c r="H10" s="4"/>
      <c r="I10" s="4"/>
      <c r="J10" s="4"/>
      <c r="K10" s="4"/>
      <c r="L10" s="4">
        <v>4</v>
      </c>
    </row>
    <row r="11" spans="1:12" x14ac:dyDescent="0.35">
      <c r="C11" t="s">
        <v>14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5">
      <c r="B12" t="s">
        <v>23</v>
      </c>
      <c r="D12" s="4">
        <v>4</v>
      </c>
      <c r="E12" s="4"/>
      <c r="F12" s="4">
        <v>4</v>
      </c>
      <c r="G12" s="4"/>
      <c r="H12" s="4"/>
      <c r="I12" s="4"/>
      <c r="J12" s="4"/>
      <c r="K12" s="4"/>
      <c r="L12" s="4">
        <v>4</v>
      </c>
    </row>
    <row r="13" spans="1:12" x14ac:dyDescent="0.35">
      <c r="A13" t="s">
        <v>46</v>
      </c>
      <c r="B13" t="s">
        <v>6</v>
      </c>
      <c r="C13" t="s">
        <v>7</v>
      </c>
      <c r="D13" s="4">
        <v>4</v>
      </c>
      <c r="E13" s="4"/>
      <c r="F13" s="4">
        <v>4</v>
      </c>
      <c r="G13" s="4"/>
      <c r="H13" s="4">
        <v>1</v>
      </c>
      <c r="I13" s="4">
        <v>1</v>
      </c>
      <c r="J13" s="4"/>
      <c r="K13" s="4"/>
      <c r="L13" s="4">
        <v>3</v>
      </c>
    </row>
    <row r="14" spans="1:12" x14ac:dyDescent="0.35">
      <c r="C14" t="s">
        <v>13</v>
      </c>
      <c r="D14" s="4"/>
      <c r="E14" s="4">
        <v>1</v>
      </c>
      <c r="F14" s="4">
        <v>1</v>
      </c>
      <c r="G14" s="4">
        <v>1</v>
      </c>
      <c r="H14" s="4"/>
      <c r="I14" s="4">
        <v>1</v>
      </c>
      <c r="J14" s="4"/>
      <c r="K14" s="4"/>
      <c r="L14" s="4">
        <v>1</v>
      </c>
    </row>
    <row r="15" spans="1:12" x14ac:dyDescent="0.35">
      <c r="B15" t="s">
        <v>21</v>
      </c>
      <c r="D15" s="4">
        <v>4</v>
      </c>
      <c r="E15" s="4">
        <v>1</v>
      </c>
      <c r="F15" s="4">
        <v>3</v>
      </c>
      <c r="G15" s="4">
        <v>1</v>
      </c>
      <c r="H15" s="4">
        <v>1</v>
      </c>
      <c r="I15" s="4">
        <v>1</v>
      </c>
      <c r="J15" s="4"/>
      <c r="K15" s="4"/>
      <c r="L15" s="4">
        <v>2.2000000000000002</v>
      </c>
    </row>
    <row r="16" spans="1:12" x14ac:dyDescent="0.35">
      <c r="B16" t="s">
        <v>10</v>
      </c>
      <c r="C16" t="s">
        <v>7</v>
      </c>
      <c r="D16" s="4">
        <v>2</v>
      </c>
      <c r="E16" s="4">
        <v>2</v>
      </c>
      <c r="F16" s="4">
        <v>2</v>
      </c>
      <c r="G16" s="4"/>
      <c r="H16" s="4">
        <v>3</v>
      </c>
      <c r="I16" s="4">
        <v>3</v>
      </c>
      <c r="J16" s="4"/>
      <c r="K16" s="4"/>
      <c r="L16" s="4">
        <v>2.3333333333333335</v>
      </c>
    </row>
    <row r="17" spans="1:12" x14ac:dyDescent="0.35">
      <c r="C17" t="s">
        <v>13</v>
      </c>
      <c r="D17" s="4"/>
      <c r="E17" s="4">
        <v>4</v>
      </c>
      <c r="F17" s="4">
        <v>4</v>
      </c>
      <c r="G17" s="4">
        <v>3</v>
      </c>
      <c r="H17" s="4"/>
      <c r="I17" s="4">
        <v>3</v>
      </c>
      <c r="J17" s="4"/>
      <c r="K17" s="4"/>
      <c r="L17" s="4">
        <v>3.5</v>
      </c>
    </row>
    <row r="18" spans="1:12" x14ac:dyDescent="0.35">
      <c r="B18" t="s">
        <v>22</v>
      </c>
      <c r="D18" s="4">
        <v>2</v>
      </c>
      <c r="E18" s="4">
        <v>3</v>
      </c>
      <c r="F18" s="4">
        <v>2.6666666666666665</v>
      </c>
      <c r="G18" s="4">
        <v>3</v>
      </c>
      <c r="H18" s="4">
        <v>3</v>
      </c>
      <c r="I18" s="4">
        <v>3</v>
      </c>
      <c r="J18" s="4"/>
      <c r="K18" s="4"/>
      <c r="L18" s="4">
        <v>2.8</v>
      </c>
    </row>
    <row r="19" spans="1:12" x14ac:dyDescent="0.35">
      <c r="B19" t="s">
        <v>13</v>
      </c>
      <c r="C19" t="s">
        <v>7</v>
      </c>
      <c r="D19" s="4">
        <v>2</v>
      </c>
      <c r="E19" s="4"/>
      <c r="F19" s="4">
        <v>2</v>
      </c>
      <c r="G19" s="4"/>
      <c r="H19" s="4"/>
      <c r="I19" s="4"/>
      <c r="J19" s="4"/>
      <c r="K19" s="4"/>
      <c r="L19" s="4">
        <v>2</v>
      </c>
    </row>
    <row r="20" spans="1:12" x14ac:dyDescent="0.35">
      <c r="C20" t="s">
        <v>14</v>
      </c>
      <c r="D20" s="4"/>
      <c r="E20" s="4"/>
      <c r="F20" s="4"/>
      <c r="G20" s="4"/>
      <c r="H20" s="4"/>
      <c r="I20" s="4"/>
      <c r="J20" s="4">
        <v>5</v>
      </c>
      <c r="K20" s="4">
        <v>5</v>
      </c>
      <c r="L20" s="4">
        <v>5</v>
      </c>
    </row>
    <row r="21" spans="1:12" x14ac:dyDescent="0.35">
      <c r="B21" t="s">
        <v>23</v>
      </c>
      <c r="D21" s="4">
        <v>2</v>
      </c>
      <c r="E21" s="4"/>
      <c r="F21" s="4">
        <v>2</v>
      </c>
      <c r="G21" s="4"/>
      <c r="H21" s="4"/>
      <c r="I21" s="4"/>
      <c r="J21" s="4">
        <v>5</v>
      </c>
      <c r="K21" s="4">
        <v>5</v>
      </c>
      <c r="L21" s="4">
        <v>3.5</v>
      </c>
    </row>
    <row r="22" spans="1:12" x14ac:dyDescent="0.35">
      <c r="A22" t="s">
        <v>51</v>
      </c>
      <c r="B22" t="s">
        <v>6</v>
      </c>
      <c r="C22" t="s">
        <v>7</v>
      </c>
      <c r="D22" s="4">
        <v>2</v>
      </c>
      <c r="E22" s="4"/>
      <c r="F22" s="4">
        <v>2</v>
      </c>
      <c r="G22" s="4"/>
      <c r="H22" s="4">
        <v>1</v>
      </c>
      <c r="I22" s="4">
        <v>1</v>
      </c>
      <c r="J22" s="4"/>
      <c r="K22" s="4"/>
      <c r="L22" s="4">
        <v>3</v>
      </c>
    </row>
    <row r="23" spans="1:12" x14ac:dyDescent="0.35">
      <c r="C23" t="s">
        <v>13</v>
      </c>
      <c r="D23" s="4"/>
      <c r="E23" s="4">
        <v>1</v>
      </c>
      <c r="F23" s="4">
        <v>1</v>
      </c>
      <c r="G23" s="4">
        <v>1</v>
      </c>
      <c r="H23" s="4"/>
      <c r="I23" s="4">
        <v>1</v>
      </c>
      <c r="J23" s="4"/>
      <c r="K23" s="4"/>
      <c r="L23" s="4">
        <v>2</v>
      </c>
    </row>
    <row r="24" spans="1:12" x14ac:dyDescent="0.35">
      <c r="B24" t="s">
        <v>21</v>
      </c>
      <c r="D24" s="4">
        <v>2</v>
      </c>
      <c r="E24" s="4">
        <v>1</v>
      </c>
      <c r="F24" s="4">
        <v>3</v>
      </c>
      <c r="G24" s="4">
        <v>1</v>
      </c>
      <c r="H24" s="4">
        <v>1</v>
      </c>
      <c r="I24" s="4">
        <v>2</v>
      </c>
      <c r="J24" s="4"/>
      <c r="K24" s="4"/>
      <c r="L24" s="4">
        <v>5</v>
      </c>
    </row>
    <row r="25" spans="1:12" x14ac:dyDescent="0.35">
      <c r="B25" t="s">
        <v>10</v>
      </c>
      <c r="C25" t="s">
        <v>7</v>
      </c>
      <c r="D25" s="4">
        <v>1</v>
      </c>
      <c r="E25" s="4">
        <v>1</v>
      </c>
      <c r="F25" s="4">
        <v>2</v>
      </c>
      <c r="G25" s="4"/>
      <c r="H25" s="4">
        <v>1</v>
      </c>
      <c r="I25" s="4">
        <v>1</v>
      </c>
      <c r="J25" s="4"/>
      <c r="K25" s="4"/>
      <c r="L25" s="4">
        <v>3</v>
      </c>
    </row>
    <row r="26" spans="1:12" x14ac:dyDescent="0.35">
      <c r="C26" t="s">
        <v>13</v>
      </c>
      <c r="D26" s="4"/>
      <c r="E26" s="4">
        <v>1</v>
      </c>
      <c r="F26" s="4">
        <v>1</v>
      </c>
      <c r="G26" s="4">
        <v>1</v>
      </c>
      <c r="H26" s="4"/>
      <c r="I26" s="4">
        <v>1</v>
      </c>
      <c r="J26" s="4"/>
      <c r="K26" s="4"/>
      <c r="L26" s="4">
        <v>2</v>
      </c>
    </row>
    <row r="27" spans="1:12" x14ac:dyDescent="0.35">
      <c r="B27" t="s">
        <v>22</v>
      </c>
      <c r="D27" s="4">
        <v>1</v>
      </c>
      <c r="E27" s="4">
        <v>2</v>
      </c>
      <c r="F27" s="4">
        <v>3</v>
      </c>
      <c r="G27" s="4">
        <v>1</v>
      </c>
      <c r="H27" s="4">
        <v>1</v>
      </c>
      <c r="I27" s="4">
        <v>2</v>
      </c>
      <c r="J27" s="4"/>
      <c r="K27" s="4"/>
      <c r="L27" s="4">
        <v>5</v>
      </c>
    </row>
    <row r="28" spans="1:12" x14ac:dyDescent="0.35">
      <c r="B28" t="s">
        <v>13</v>
      </c>
      <c r="C28" t="s">
        <v>7</v>
      </c>
      <c r="D28" s="4">
        <v>1</v>
      </c>
      <c r="E28" s="4"/>
      <c r="F28" s="4">
        <v>1</v>
      </c>
      <c r="G28" s="4"/>
      <c r="H28" s="4"/>
      <c r="I28" s="4"/>
      <c r="J28" s="4"/>
      <c r="K28" s="4"/>
      <c r="L28" s="4">
        <v>1</v>
      </c>
    </row>
    <row r="29" spans="1:12" x14ac:dyDescent="0.35">
      <c r="C29" t="s">
        <v>14</v>
      </c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5">
      <c r="B30" t="s">
        <v>23</v>
      </c>
      <c r="D30" s="4">
        <v>1</v>
      </c>
      <c r="E30" s="4"/>
      <c r="F30" s="4">
        <v>1</v>
      </c>
      <c r="G30" s="4"/>
      <c r="H30" s="4"/>
      <c r="I30" s="4"/>
      <c r="J30" s="4"/>
      <c r="K30" s="4"/>
      <c r="L30" s="4">
        <v>1</v>
      </c>
    </row>
    <row r="31" spans="1:12" x14ac:dyDescent="0.35">
      <c r="A31" t="s">
        <v>44</v>
      </c>
      <c r="D31" s="4">
        <v>17</v>
      </c>
      <c r="E31" s="4">
        <v>23</v>
      </c>
      <c r="F31" s="4">
        <v>40</v>
      </c>
      <c r="G31" s="4">
        <v>12</v>
      </c>
      <c r="H31" s="4">
        <v>18</v>
      </c>
      <c r="I31" s="4">
        <v>30</v>
      </c>
      <c r="J31" s="4"/>
      <c r="K31" s="4"/>
      <c r="L31" s="4">
        <v>70</v>
      </c>
    </row>
    <row r="32" spans="1:12" x14ac:dyDescent="0.35">
      <c r="A32" t="s">
        <v>45</v>
      </c>
      <c r="D32" s="4">
        <v>3</v>
      </c>
      <c r="E32" s="4">
        <v>2.3333333333333335</v>
      </c>
      <c r="F32" s="4">
        <v>2.7142857142857144</v>
      </c>
      <c r="G32" s="4">
        <v>2</v>
      </c>
      <c r="H32" s="4">
        <v>2</v>
      </c>
      <c r="I32" s="4">
        <v>2</v>
      </c>
      <c r="J32" s="4">
        <v>5</v>
      </c>
      <c r="K32" s="4">
        <v>5</v>
      </c>
      <c r="L32" s="4">
        <v>2.6666666666666665</v>
      </c>
    </row>
    <row r="33" spans="1:12" x14ac:dyDescent="0.35">
      <c r="A33" t="s">
        <v>50</v>
      </c>
      <c r="D33" s="4">
        <v>4</v>
      </c>
      <c r="E33" s="4">
        <v>3</v>
      </c>
      <c r="F33" s="4">
        <v>7</v>
      </c>
      <c r="G33" s="4">
        <v>2</v>
      </c>
      <c r="H33" s="4">
        <v>2</v>
      </c>
      <c r="I33" s="4">
        <v>4</v>
      </c>
      <c r="J33" s="4"/>
      <c r="K33" s="4"/>
      <c r="L33" s="4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4189-9BF5-44FD-A762-8E8ADF19530B}">
  <dimension ref="A1:AC14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4" width="9.6328125" bestFit="1" customWidth="1"/>
    <col min="5" max="5" width="10.1796875" bestFit="1" customWidth="1"/>
    <col min="6" max="7" width="5.7265625" bestFit="1" customWidth="1"/>
    <col min="8" max="8" width="6.36328125" bestFit="1" customWidth="1"/>
    <col min="9" max="9" width="5.90625" bestFit="1" customWidth="1"/>
    <col min="10" max="10" width="6.54296875" bestFit="1" customWidth="1"/>
    <col min="11" max="13" width="11.81640625" bestFit="1" customWidth="1"/>
    <col min="14" max="15" width="5.7265625" bestFit="1" customWidth="1"/>
    <col min="16" max="16" width="6.36328125" bestFit="1" customWidth="1"/>
    <col min="17" max="17" width="5.90625" bestFit="1" customWidth="1"/>
    <col min="18" max="18" width="6.54296875" bestFit="1" customWidth="1"/>
    <col min="19" max="20" width="6.6328125" bestFit="1" customWidth="1"/>
    <col min="21" max="21" width="6.36328125" bestFit="1" customWidth="1"/>
    <col min="22" max="23" width="5.7265625" bestFit="1" customWidth="1"/>
    <col min="24" max="24" width="6.36328125" bestFit="1" customWidth="1"/>
    <col min="25" max="25" width="5.90625" bestFit="1" customWidth="1"/>
    <col min="26" max="26" width="6.54296875" bestFit="1" customWidth="1"/>
    <col min="27" max="27" width="12.54296875" bestFit="1" customWidth="1"/>
    <col min="28" max="28" width="12.6328125" bestFit="1" customWidth="1"/>
    <col min="29" max="29" width="11.08984375" bestFit="1" customWidth="1"/>
  </cols>
  <sheetData>
    <row r="1" spans="1:29" x14ac:dyDescent="0.35">
      <c r="C1" s="1" t="s">
        <v>52</v>
      </c>
      <c r="D1" s="1" t="s">
        <v>2</v>
      </c>
      <c r="E1" s="1" t="s">
        <v>3</v>
      </c>
    </row>
    <row r="2" spans="1:29" x14ac:dyDescent="0.35">
      <c r="C2" t="s">
        <v>20</v>
      </c>
      <c r="K2" t="s">
        <v>46</v>
      </c>
      <c r="S2" t="s">
        <v>51</v>
      </c>
      <c r="AA2" t="s">
        <v>44</v>
      </c>
      <c r="AB2" t="s">
        <v>45</v>
      </c>
      <c r="AC2" t="s">
        <v>50</v>
      </c>
    </row>
    <row r="3" spans="1:29" x14ac:dyDescent="0.35">
      <c r="C3" t="s">
        <v>8</v>
      </c>
      <c r="E3" t="s">
        <v>26</v>
      </c>
      <c r="F3" t="s">
        <v>11</v>
      </c>
      <c r="H3" t="s">
        <v>27</v>
      </c>
      <c r="I3" t="s">
        <v>15</v>
      </c>
      <c r="J3" t="s">
        <v>28</v>
      </c>
      <c r="K3" t="s">
        <v>8</v>
      </c>
      <c r="M3" t="s">
        <v>26</v>
      </c>
      <c r="N3" t="s">
        <v>11</v>
      </c>
      <c r="P3" t="s">
        <v>27</v>
      </c>
      <c r="Q3" t="s">
        <v>15</v>
      </c>
      <c r="R3" t="s">
        <v>28</v>
      </c>
      <c r="S3" t="s">
        <v>8</v>
      </c>
      <c r="U3" t="s">
        <v>26</v>
      </c>
      <c r="V3" t="s">
        <v>11</v>
      </c>
      <c r="X3" t="s">
        <v>27</v>
      </c>
      <c r="Y3" t="s">
        <v>15</v>
      </c>
      <c r="Z3" t="s">
        <v>28</v>
      </c>
    </row>
    <row r="4" spans="1:29" x14ac:dyDescent="0.35">
      <c r="A4" s="1" t="s">
        <v>0</v>
      </c>
      <c r="B4" s="1" t="s">
        <v>1</v>
      </c>
      <c r="C4" t="s">
        <v>9</v>
      </c>
      <c r="D4" t="s">
        <v>12</v>
      </c>
      <c r="F4" t="s">
        <v>9</v>
      </c>
      <c r="G4" t="s">
        <v>12</v>
      </c>
      <c r="I4" t="s">
        <v>16</v>
      </c>
      <c r="K4" t="s">
        <v>9</v>
      </c>
      <c r="L4" t="s">
        <v>12</v>
      </c>
      <c r="N4" t="s">
        <v>9</v>
      </c>
      <c r="O4" t="s">
        <v>12</v>
      </c>
      <c r="Q4" t="s">
        <v>16</v>
      </c>
      <c r="S4" t="s">
        <v>9</v>
      </c>
      <c r="T4" t="s">
        <v>12</v>
      </c>
      <c r="V4" t="s">
        <v>9</v>
      </c>
      <c r="W4" t="s">
        <v>12</v>
      </c>
      <c r="Y4" t="s">
        <v>16</v>
      </c>
    </row>
    <row r="5" spans="1:29" x14ac:dyDescent="0.35">
      <c r="A5" t="s">
        <v>6</v>
      </c>
      <c r="B5" t="s">
        <v>7</v>
      </c>
      <c r="C5" s="4">
        <v>13</v>
      </c>
      <c r="D5" s="4"/>
      <c r="E5" s="4">
        <v>13</v>
      </c>
      <c r="F5" s="4"/>
      <c r="G5" s="4">
        <v>-2</v>
      </c>
      <c r="H5" s="4">
        <v>-2</v>
      </c>
      <c r="I5" s="4"/>
      <c r="J5" s="4"/>
      <c r="K5" s="4">
        <v>4</v>
      </c>
      <c r="L5" s="4"/>
      <c r="M5" s="4">
        <v>4</v>
      </c>
      <c r="N5" s="4"/>
      <c r="O5" s="4">
        <v>1</v>
      </c>
      <c r="P5" s="4">
        <v>1</v>
      </c>
      <c r="Q5" s="4"/>
      <c r="R5" s="4"/>
      <c r="S5" s="4">
        <v>2</v>
      </c>
      <c r="T5" s="4"/>
      <c r="U5" s="4">
        <v>2</v>
      </c>
      <c r="V5" s="4"/>
      <c r="W5" s="4">
        <v>1</v>
      </c>
      <c r="X5" s="4">
        <v>1</v>
      </c>
      <c r="Y5" s="4"/>
      <c r="Z5" s="4"/>
      <c r="AA5" s="4">
        <v>11</v>
      </c>
      <c r="AB5" s="4">
        <v>3</v>
      </c>
      <c r="AC5" s="4">
        <v>3</v>
      </c>
    </row>
    <row r="6" spans="1:29" x14ac:dyDescent="0.35">
      <c r="B6" t="s">
        <v>13</v>
      </c>
      <c r="C6" s="4"/>
      <c r="D6" s="4">
        <v>0</v>
      </c>
      <c r="E6" s="4">
        <v>0</v>
      </c>
      <c r="F6" s="4">
        <v>5</v>
      </c>
      <c r="G6" s="4"/>
      <c r="H6" s="4">
        <v>5</v>
      </c>
      <c r="I6" s="4"/>
      <c r="J6" s="4"/>
      <c r="K6" s="4"/>
      <c r="L6" s="4">
        <v>1</v>
      </c>
      <c r="M6" s="4">
        <v>1</v>
      </c>
      <c r="N6" s="4">
        <v>1</v>
      </c>
      <c r="O6" s="4"/>
      <c r="P6" s="4">
        <v>1</v>
      </c>
      <c r="Q6" s="4"/>
      <c r="R6" s="4"/>
      <c r="S6" s="4"/>
      <c r="T6" s="4">
        <v>1</v>
      </c>
      <c r="U6" s="4">
        <v>1</v>
      </c>
      <c r="V6" s="4">
        <v>1</v>
      </c>
      <c r="W6" s="4"/>
      <c r="X6" s="4">
        <v>1</v>
      </c>
      <c r="Y6" s="4"/>
      <c r="Z6" s="4"/>
      <c r="AA6" s="4">
        <v>5</v>
      </c>
      <c r="AB6" s="4">
        <v>1</v>
      </c>
      <c r="AC6" s="4">
        <v>2</v>
      </c>
    </row>
    <row r="7" spans="1:29" x14ac:dyDescent="0.35">
      <c r="A7" t="s">
        <v>21</v>
      </c>
      <c r="C7" s="4">
        <v>13</v>
      </c>
      <c r="D7" s="4">
        <v>0</v>
      </c>
      <c r="E7" s="4">
        <v>13</v>
      </c>
      <c r="F7" s="4">
        <v>5</v>
      </c>
      <c r="G7" s="4">
        <v>-2</v>
      </c>
      <c r="H7" s="4">
        <v>3</v>
      </c>
      <c r="I7" s="4"/>
      <c r="J7" s="4"/>
      <c r="K7" s="4">
        <v>4</v>
      </c>
      <c r="L7" s="4">
        <v>1</v>
      </c>
      <c r="M7" s="4">
        <v>3</v>
      </c>
      <c r="N7" s="4">
        <v>1</v>
      </c>
      <c r="O7" s="4">
        <v>1</v>
      </c>
      <c r="P7" s="4">
        <v>1</v>
      </c>
      <c r="Q7" s="4"/>
      <c r="R7" s="4"/>
      <c r="S7" s="4">
        <v>2</v>
      </c>
      <c r="T7" s="4">
        <v>1</v>
      </c>
      <c r="U7" s="4">
        <v>3</v>
      </c>
      <c r="V7" s="4">
        <v>1</v>
      </c>
      <c r="W7" s="4">
        <v>1</v>
      </c>
      <c r="X7" s="4">
        <v>2</v>
      </c>
      <c r="Y7" s="4"/>
      <c r="Z7" s="4"/>
      <c r="AA7" s="4">
        <v>16</v>
      </c>
      <c r="AB7" s="4">
        <v>2.2000000000000002</v>
      </c>
      <c r="AC7" s="4">
        <v>5</v>
      </c>
    </row>
    <row r="8" spans="1:29" x14ac:dyDescent="0.35">
      <c r="A8" t="s">
        <v>10</v>
      </c>
      <c r="B8" t="s">
        <v>7</v>
      </c>
      <c r="C8" s="4">
        <v>0</v>
      </c>
      <c r="D8" s="4">
        <v>8</v>
      </c>
      <c r="E8" s="4">
        <v>8</v>
      </c>
      <c r="F8" s="4"/>
      <c r="G8" s="4">
        <v>20</v>
      </c>
      <c r="H8" s="4">
        <v>20</v>
      </c>
      <c r="I8" s="4"/>
      <c r="J8" s="4"/>
      <c r="K8" s="4">
        <v>2</v>
      </c>
      <c r="L8" s="4">
        <v>2</v>
      </c>
      <c r="M8" s="4">
        <v>2</v>
      </c>
      <c r="N8" s="4"/>
      <c r="O8" s="4">
        <v>3</v>
      </c>
      <c r="P8" s="4">
        <v>3</v>
      </c>
      <c r="Q8" s="4"/>
      <c r="R8" s="4"/>
      <c r="S8" s="4">
        <v>1</v>
      </c>
      <c r="T8" s="4">
        <v>1</v>
      </c>
      <c r="U8" s="4">
        <v>2</v>
      </c>
      <c r="V8" s="4"/>
      <c r="W8" s="4">
        <v>1</v>
      </c>
      <c r="X8" s="4">
        <v>1</v>
      </c>
      <c r="Y8" s="4"/>
      <c r="Z8" s="4"/>
      <c r="AA8" s="4">
        <v>28</v>
      </c>
      <c r="AB8" s="4">
        <v>2.3333333333333335</v>
      </c>
      <c r="AC8" s="4">
        <v>3</v>
      </c>
    </row>
    <row r="9" spans="1:29" x14ac:dyDescent="0.35">
      <c r="B9" t="s">
        <v>13</v>
      </c>
      <c r="C9" s="4"/>
      <c r="D9" s="4">
        <v>15</v>
      </c>
      <c r="E9" s="4">
        <v>15</v>
      </c>
      <c r="F9" s="4">
        <v>7</v>
      </c>
      <c r="G9" s="4"/>
      <c r="H9" s="4">
        <v>7</v>
      </c>
      <c r="I9" s="4"/>
      <c r="J9" s="4"/>
      <c r="K9" s="4"/>
      <c r="L9" s="4">
        <v>4</v>
      </c>
      <c r="M9" s="4">
        <v>4</v>
      </c>
      <c r="N9" s="4">
        <v>3</v>
      </c>
      <c r="O9" s="4"/>
      <c r="P9" s="4">
        <v>3</v>
      </c>
      <c r="Q9" s="4"/>
      <c r="R9" s="4"/>
      <c r="S9" s="4"/>
      <c r="T9" s="4">
        <v>1</v>
      </c>
      <c r="U9" s="4">
        <v>1</v>
      </c>
      <c r="V9" s="4">
        <v>1</v>
      </c>
      <c r="W9" s="4"/>
      <c r="X9" s="4">
        <v>1</v>
      </c>
      <c r="Y9" s="4"/>
      <c r="Z9" s="4"/>
      <c r="AA9" s="4">
        <v>22</v>
      </c>
      <c r="AB9" s="4">
        <v>3.5</v>
      </c>
      <c r="AC9" s="4">
        <v>2</v>
      </c>
    </row>
    <row r="10" spans="1:29" x14ac:dyDescent="0.35">
      <c r="A10" t="s">
        <v>22</v>
      </c>
      <c r="C10" s="4">
        <v>0</v>
      </c>
      <c r="D10" s="4">
        <v>23</v>
      </c>
      <c r="E10" s="4">
        <v>23</v>
      </c>
      <c r="F10" s="4">
        <v>7</v>
      </c>
      <c r="G10" s="4">
        <v>20</v>
      </c>
      <c r="H10" s="4">
        <v>27</v>
      </c>
      <c r="I10" s="4"/>
      <c r="J10" s="4"/>
      <c r="K10" s="4">
        <v>2</v>
      </c>
      <c r="L10" s="4">
        <v>3</v>
      </c>
      <c r="M10" s="4">
        <v>2.6666666666666665</v>
      </c>
      <c r="N10" s="4">
        <v>3</v>
      </c>
      <c r="O10" s="4">
        <v>3</v>
      </c>
      <c r="P10" s="4">
        <v>3</v>
      </c>
      <c r="Q10" s="4"/>
      <c r="R10" s="4"/>
      <c r="S10" s="4">
        <v>1</v>
      </c>
      <c r="T10" s="4">
        <v>2</v>
      </c>
      <c r="U10" s="4">
        <v>3</v>
      </c>
      <c r="V10" s="4">
        <v>1</v>
      </c>
      <c r="W10" s="4">
        <v>1</v>
      </c>
      <c r="X10" s="4">
        <v>2</v>
      </c>
      <c r="Y10" s="4"/>
      <c r="Z10" s="4"/>
      <c r="AA10" s="4">
        <v>50</v>
      </c>
      <c r="AB10" s="4">
        <v>2.8</v>
      </c>
      <c r="AC10" s="4">
        <v>5</v>
      </c>
    </row>
    <row r="11" spans="1:29" x14ac:dyDescent="0.35">
      <c r="A11" t="s">
        <v>13</v>
      </c>
      <c r="B11" t="s">
        <v>7</v>
      </c>
      <c r="C11" s="4">
        <v>4</v>
      </c>
      <c r="D11" s="4"/>
      <c r="E11" s="4">
        <v>4</v>
      </c>
      <c r="F11" s="4"/>
      <c r="G11" s="4"/>
      <c r="H11" s="4"/>
      <c r="I11" s="4"/>
      <c r="J11" s="4"/>
      <c r="K11" s="4">
        <v>2</v>
      </c>
      <c r="L11" s="4"/>
      <c r="M11" s="4">
        <v>2</v>
      </c>
      <c r="N11" s="4"/>
      <c r="O11" s="4"/>
      <c r="P11" s="4"/>
      <c r="Q11" s="4"/>
      <c r="R11" s="4"/>
      <c r="S11" s="4">
        <v>1</v>
      </c>
      <c r="T11" s="4"/>
      <c r="U11" s="4">
        <v>1</v>
      </c>
      <c r="V11" s="4"/>
      <c r="W11" s="4"/>
      <c r="X11" s="4"/>
      <c r="Y11" s="4"/>
      <c r="Z11" s="4"/>
      <c r="AA11" s="4">
        <v>4</v>
      </c>
      <c r="AB11" s="4">
        <v>2</v>
      </c>
      <c r="AC11" s="4">
        <v>1</v>
      </c>
    </row>
    <row r="12" spans="1:29" x14ac:dyDescent="0.35">
      <c r="B12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>
        <v>5</v>
      </c>
      <c r="R12" s="4">
        <v>5</v>
      </c>
      <c r="S12" s="4"/>
      <c r="T12" s="4"/>
      <c r="U12" s="4"/>
      <c r="V12" s="4"/>
      <c r="W12" s="4"/>
      <c r="X12" s="4"/>
      <c r="Y12" s="4"/>
      <c r="Z12" s="4"/>
      <c r="AA12" s="4"/>
      <c r="AB12" s="4">
        <v>5</v>
      </c>
      <c r="AC12" s="4"/>
    </row>
    <row r="13" spans="1:29" x14ac:dyDescent="0.35">
      <c r="A13" t="s">
        <v>23</v>
      </c>
      <c r="C13" s="4">
        <v>4</v>
      </c>
      <c r="D13" s="4"/>
      <c r="E13" s="4">
        <v>4</v>
      </c>
      <c r="F13" s="4"/>
      <c r="G13" s="4"/>
      <c r="H13" s="4"/>
      <c r="I13" s="4"/>
      <c r="J13" s="4"/>
      <c r="K13" s="4">
        <v>2</v>
      </c>
      <c r="L13" s="4"/>
      <c r="M13" s="4">
        <v>2</v>
      </c>
      <c r="N13" s="4"/>
      <c r="O13" s="4"/>
      <c r="P13" s="4"/>
      <c r="Q13" s="4">
        <v>5</v>
      </c>
      <c r="R13" s="4">
        <v>5</v>
      </c>
      <c r="S13" s="4">
        <v>1</v>
      </c>
      <c r="T13" s="4"/>
      <c r="U13" s="4">
        <v>1</v>
      </c>
      <c r="V13" s="4"/>
      <c r="W13" s="4"/>
      <c r="X13" s="4"/>
      <c r="Y13" s="4"/>
      <c r="Z13" s="4"/>
      <c r="AA13" s="4">
        <v>4</v>
      </c>
      <c r="AB13" s="4">
        <v>3.5</v>
      </c>
      <c r="AC13" s="4">
        <v>1</v>
      </c>
    </row>
    <row r="14" spans="1:29" x14ac:dyDescent="0.35">
      <c r="A14" t="s">
        <v>19</v>
      </c>
      <c r="C14" s="4">
        <v>17</v>
      </c>
      <c r="D14" s="4">
        <v>23</v>
      </c>
      <c r="E14" s="4">
        <v>40</v>
      </c>
      <c r="F14" s="4">
        <v>12</v>
      </c>
      <c r="G14" s="4">
        <v>18</v>
      </c>
      <c r="H14" s="4">
        <v>30</v>
      </c>
      <c r="I14" s="4"/>
      <c r="J14" s="4"/>
      <c r="K14" s="4">
        <v>3</v>
      </c>
      <c r="L14" s="4">
        <v>2.3333333333333335</v>
      </c>
      <c r="M14" s="4">
        <v>2.7142857142857144</v>
      </c>
      <c r="N14" s="4">
        <v>2</v>
      </c>
      <c r="O14" s="4">
        <v>2</v>
      </c>
      <c r="P14" s="4">
        <v>2</v>
      </c>
      <c r="Q14" s="4">
        <v>5</v>
      </c>
      <c r="R14" s="4">
        <v>5</v>
      </c>
      <c r="S14" s="4">
        <v>4</v>
      </c>
      <c r="T14" s="4">
        <v>3</v>
      </c>
      <c r="U14" s="4">
        <v>7</v>
      </c>
      <c r="V14" s="4">
        <v>2</v>
      </c>
      <c r="W14" s="4">
        <v>2</v>
      </c>
      <c r="X14" s="4">
        <v>4</v>
      </c>
      <c r="Y14" s="4"/>
      <c r="Z14" s="4"/>
      <c r="AA14" s="4">
        <v>70</v>
      </c>
      <c r="AB14" s="4">
        <v>2.6666666666666665</v>
      </c>
      <c r="AC14" s="4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1D38-D5A3-4DEB-88EB-1186134DC31E}">
  <dimension ref="A1:L33"/>
  <sheetViews>
    <sheetView workbookViewId="0"/>
  </sheetViews>
  <sheetFormatPr defaultRowHeight="14.5" x14ac:dyDescent="0.35"/>
  <cols>
    <col min="1" max="1" width="13.54296875" bestFit="1" customWidth="1"/>
    <col min="2" max="2" width="15.6328125" bestFit="1" customWidth="1"/>
    <col min="3" max="3" width="6.54296875" bestFit="1" customWidth="1"/>
    <col min="4" max="6" width="11.81640625" bestFit="1" customWidth="1"/>
    <col min="7" max="8" width="5.7265625" bestFit="1" customWidth="1"/>
    <col min="9" max="9" width="6.36328125" bestFit="1" customWidth="1"/>
    <col min="10" max="10" width="5.90625" bestFit="1" customWidth="1"/>
    <col min="11" max="11" width="6.54296875" bestFit="1" customWidth="1"/>
    <col min="12" max="12" width="11.81640625" bestFit="1" customWidth="1"/>
    <col min="13" max="13" width="6.6328125" bestFit="1" customWidth="1"/>
    <col min="14" max="14" width="8.08984375" bestFit="1" customWidth="1"/>
    <col min="15" max="15" width="8.1796875" bestFit="1" customWidth="1"/>
    <col min="16" max="16" width="6.6328125" bestFit="1" customWidth="1"/>
    <col min="17" max="17" width="9.54296875" bestFit="1" customWidth="1"/>
    <col min="18" max="18" width="9.6328125" bestFit="1" customWidth="1"/>
    <col min="19" max="20" width="8.08984375" bestFit="1" customWidth="1"/>
    <col min="21" max="21" width="8.1796875" bestFit="1" customWidth="1"/>
    <col min="22" max="22" width="6.6328125" bestFit="1" customWidth="1"/>
    <col min="23" max="23" width="9.7265625" bestFit="1" customWidth="1"/>
    <col min="24" max="24" width="9.81640625" bestFit="1" customWidth="1"/>
    <col min="25" max="25" width="8.26953125" bestFit="1" customWidth="1"/>
    <col min="26" max="26" width="12.54296875" bestFit="1" customWidth="1"/>
    <col min="27" max="27" width="12.6328125" bestFit="1" customWidth="1"/>
    <col min="28" max="28" width="11.08984375" bestFit="1" customWidth="1"/>
  </cols>
  <sheetData>
    <row r="1" spans="1:12" x14ac:dyDescent="0.35">
      <c r="D1" s="1" t="s">
        <v>2</v>
      </c>
      <c r="E1" s="1" t="s">
        <v>3</v>
      </c>
    </row>
    <row r="2" spans="1:12" x14ac:dyDescent="0.35">
      <c r="D2" t="s">
        <v>8</v>
      </c>
      <c r="F2" t="s">
        <v>26</v>
      </c>
      <c r="G2" t="s">
        <v>11</v>
      </c>
      <c r="I2" t="s">
        <v>27</v>
      </c>
      <c r="J2" t="s">
        <v>15</v>
      </c>
      <c r="K2" t="s">
        <v>28</v>
      </c>
      <c r="L2" t="s">
        <v>19</v>
      </c>
    </row>
    <row r="3" spans="1:12" x14ac:dyDescent="0.35">
      <c r="A3" s="1" t="s">
        <v>0</v>
      </c>
      <c r="B3" s="1" t="s">
        <v>52</v>
      </c>
      <c r="C3" s="1" t="s">
        <v>1</v>
      </c>
      <c r="D3" t="s">
        <v>9</v>
      </c>
      <c r="E3" t="s">
        <v>12</v>
      </c>
      <c r="G3" t="s">
        <v>9</v>
      </c>
      <c r="H3" t="s">
        <v>12</v>
      </c>
      <c r="J3" t="s">
        <v>16</v>
      </c>
    </row>
    <row r="4" spans="1:12" x14ac:dyDescent="0.35">
      <c r="A4" t="s">
        <v>6</v>
      </c>
      <c r="B4" t="s">
        <v>20</v>
      </c>
      <c r="C4" t="s">
        <v>7</v>
      </c>
      <c r="D4" s="4">
        <v>13</v>
      </c>
      <c r="E4" s="4"/>
      <c r="F4" s="4">
        <v>13</v>
      </c>
      <c r="G4" s="4"/>
      <c r="H4" s="4">
        <v>-2</v>
      </c>
      <c r="I4" s="4">
        <v>-2</v>
      </c>
      <c r="J4" s="4"/>
      <c r="K4" s="4"/>
      <c r="L4" s="4">
        <v>11</v>
      </c>
    </row>
    <row r="5" spans="1:12" x14ac:dyDescent="0.35">
      <c r="C5" t="s">
        <v>13</v>
      </c>
      <c r="D5" s="4"/>
      <c r="E5" s="4">
        <v>0</v>
      </c>
      <c r="F5" s="4">
        <v>0</v>
      </c>
      <c r="G5" s="4">
        <v>5</v>
      </c>
      <c r="H5" s="4"/>
      <c r="I5" s="4">
        <v>5</v>
      </c>
      <c r="J5" s="4"/>
      <c r="K5" s="4"/>
      <c r="L5" s="4">
        <v>5</v>
      </c>
    </row>
    <row r="6" spans="1:12" x14ac:dyDescent="0.35">
      <c r="B6" t="s">
        <v>46</v>
      </c>
      <c r="C6" t="s">
        <v>7</v>
      </c>
      <c r="D6" s="4">
        <v>4</v>
      </c>
      <c r="E6" s="4"/>
      <c r="F6" s="4">
        <v>4</v>
      </c>
      <c r="G6" s="4"/>
      <c r="H6" s="4">
        <v>1</v>
      </c>
      <c r="I6" s="4">
        <v>1</v>
      </c>
      <c r="J6" s="4"/>
      <c r="K6" s="4"/>
      <c r="L6" s="4">
        <v>3</v>
      </c>
    </row>
    <row r="7" spans="1:12" x14ac:dyDescent="0.35">
      <c r="C7" t="s">
        <v>13</v>
      </c>
      <c r="D7" s="4"/>
      <c r="E7" s="4">
        <v>1</v>
      </c>
      <c r="F7" s="4">
        <v>1</v>
      </c>
      <c r="G7" s="4">
        <v>1</v>
      </c>
      <c r="H7" s="4"/>
      <c r="I7" s="4">
        <v>1</v>
      </c>
      <c r="J7" s="4"/>
      <c r="K7" s="4"/>
      <c r="L7" s="4">
        <v>1</v>
      </c>
    </row>
    <row r="8" spans="1:12" x14ac:dyDescent="0.35">
      <c r="B8" t="s">
        <v>51</v>
      </c>
      <c r="C8" t="s">
        <v>7</v>
      </c>
      <c r="D8" s="4">
        <v>2</v>
      </c>
      <c r="E8" s="4"/>
      <c r="F8" s="4">
        <v>2</v>
      </c>
      <c r="G8" s="4"/>
      <c r="H8" s="4">
        <v>1</v>
      </c>
      <c r="I8" s="4">
        <v>1</v>
      </c>
      <c r="J8" s="4"/>
      <c r="K8" s="4"/>
      <c r="L8" s="4">
        <v>3</v>
      </c>
    </row>
    <row r="9" spans="1:12" x14ac:dyDescent="0.35">
      <c r="C9" t="s">
        <v>13</v>
      </c>
      <c r="D9" s="4"/>
      <c r="E9" s="4">
        <v>1</v>
      </c>
      <c r="F9" s="4">
        <v>1</v>
      </c>
      <c r="G9" s="4">
        <v>1</v>
      </c>
      <c r="H9" s="4"/>
      <c r="I9" s="4">
        <v>1</v>
      </c>
      <c r="J9" s="4"/>
      <c r="K9" s="4"/>
      <c r="L9" s="4">
        <v>2</v>
      </c>
    </row>
    <row r="10" spans="1:12" x14ac:dyDescent="0.35">
      <c r="A10" t="s">
        <v>54</v>
      </c>
      <c r="D10" s="4">
        <v>13</v>
      </c>
      <c r="E10" s="4">
        <v>0</v>
      </c>
      <c r="F10" s="4">
        <v>13</v>
      </c>
      <c r="G10" s="4">
        <v>5</v>
      </c>
      <c r="H10" s="4">
        <v>-2</v>
      </c>
      <c r="I10" s="4">
        <v>3</v>
      </c>
      <c r="J10" s="4"/>
      <c r="K10" s="4"/>
      <c r="L10" s="4">
        <v>16</v>
      </c>
    </row>
    <row r="11" spans="1:12" x14ac:dyDescent="0.35">
      <c r="A11" t="s">
        <v>55</v>
      </c>
      <c r="D11" s="4">
        <v>4</v>
      </c>
      <c r="E11" s="4">
        <v>1</v>
      </c>
      <c r="F11" s="4">
        <v>3</v>
      </c>
      <c r="G11" s="4">
        <v>1</v>
      </c>
      <c r="H11" s="4">
        <v>1</v>
      </c>
      <c r="I11" s="4">
        <v>1</v>
      </c>
      <c r="J11" s="4"/>
      <c r="K11" s="4"/>
      <c r="L11" s="4">
        <v>2.2000000000000002</v>
      </c>
    </row>
    <row r="12" spans="1:12" x14ac:dyDescent="0.35">
      <c r="A12" t="s">
        <v>56</v>
      </c>
      <c r="D12" s="4">
        <v>2</v>
      </c>
      <c r="E12" s="4">
        <v>1</v>
      </c>
      <c r="F12" s="4">
        <v>3</v>
      </c>
      <c r="G12" s="4">
        <v>1</v>
      </c>
      <c r="H12" s="4">
        <v>1</v>
      </c>
      <c r="I12" s="4">
        <v>2</v>
      </c>
      <c r="J12" s="4"/>
      <c r="K12" s="4"/>
      <c r="L12" s="4">
        <v>5</v>
      </c>
    </row>
    <row r="13" spans="1:12" x14ac:dyDescent="0.35">
      <c r="A13" t="s">
        <v>10</v>
      </c>
      <c r="B13" t="s">
        <v>20</v>
      </c>
      <c r="C13" t="s">
        <v>7</v>
      </c>
      <c r="D13" s="4">
        <v>0</v>
      </c>
      <c r="E13" s="4">
        <v>8</v>
      </c>
      <c r="F13" s="4">
        <v>8</v>
      </c>
      <c r="G13" s="4"/>
      <c r="H13" s="4">
        <v>20</v>
      </c>
      <c r="I13" s="4">
        <v>20</v>
      </c>
      <c r="J13" s="4"/>
      <c r="K13" s="4"/>
      <c r="L13" s="4">
        <v>28</v>
      </c>
    </row>
    <row r="14" spans="1:12" x14ac:dyDescent="0.35">
      <c r="C14" t="s">
        <v>13</v>
      </c>
      <c r="D14" s="4"/>
      <c r="E14" s="4">
        <v>15</v>
      </c>
      <c r="F14" s="4">
        <v>15</v>
      </c>
      <c r="G14" s="4">
        <v>7</v>
      </c>
      <c r="H14" s="4"/>
      <c r="I14" s="4">
        <v>7</v>
      </c>
      <c r="J14" s="4"/>
      <c r="K14" s="4"/>
      <c r="L14" s="4">
        <v>22</v>
      </c>
    </row>
    <row r="15" spans="1:12" x14ac:dyDescent="0.35">
      <c r="B15" t="s">
        <v>46</v>
      </c>
      <c r="C15" t="s">
        <v>7</v>
      </c>
      <c r="D15" s="4">
        <v>2</v>
      </c>
      <c r="E15" s="4">
        <v>2</v>
      </c>
      <c r="F15" s="4">
        <v>2</v>
      </c>
      <c r="G15" s="4"/>
      <c r="H15" s="4">
        <v>3</v>
      </c>
      <c r="I15" s="4">
        <v>3</v>
      </c>
      <c r="J15" s="4"/>
      <c r="K15" s="4"/>
      <c r="L15" s="4">
        <v>2.3333333333333335</v>
      </c>
    </row>
    <row r="16" spans="1:12" x14ac:dyDescent="0.35">
      <c r="C16" t="s">
        <v>13</v>
      </c>
      <c r="D16" s="4"/>
      <c r="E16" s="4">
        <v>4</v>
      </c>
      <c r="F16" s="4">
        <v>4</v>
      </c>
      <c r="G16" s="4">
        <v>3</v>
      </c>
      <c r="H16" s="4"/>
      <c r="I16" s="4">
        <v>3</v>
      </c>
      <c r="J16" s="4"/>
      <c r="K16" s="4"/>
      <c r="L16" s="4">
        <v>3.5</v>
      </c>
    </row>
    <row r="17" spans="1:12" x14ac:dyDescent="0.35">
      <c r="B17" t="s">
        <v>51</v>
      </c>
      <c r="C17" t="s">
        <v>7</v>
      </c>
      <c r="D17" s="4">
        <v>1</v>
      </c>
      <c r="E17" s="4">
        <v>1</v>
      </c>
      <c r="F17" s="4">
        <v>2</v>
      </c>
      <c r="G17" s="4"/>
      <c r="H17" s="4">
        <v>1</v>
      </c>
      <c r="I17" s="4">
        <v>1</v>
      </c>
      <c r="J17" s="4"/>
      <c r="K17" s="4"/>
      <c r="L17" s="4">
        <v>3</v>
      </c>
    </row>
    <row r="18" spans="1:12" x14ac:dyDescent="0.35">
      <c r="C18" t="s">
        <v>13</v>
      </c>
      <c r="D18" s="4"/>
      <c r="E18" s="4">
        <v>1</v>
      </c>
      <c r="F18" s="4">
        <v>1</v>
      </c>
      <c r="G18" s="4">
        <v>1</v>
      </c>
      <c r="H18" s="4"/>
      <c r="I18" s="4">
        <v>1</v>
      </c>
      <c r="J18" s="4"/>
      <c r="K18" s="4"/>
      <c r="L18" s="4">
        <v>2</v>
      </c>
    </row>
    <row r="19" spans="1:12" x14ac:dyDescent="0.35">
      <c r="A19" t="s">
        <v>57</v>
      </c>
      <c r="D19" s="4">
        <v>0</v>
      </c>
      <c r="E19" s="4">
        <v>23</v>
      </c>
      <c r="F19" s="4">
        <v>23</v>
      </c>
      <c r="G19" s="4">
        <v>7</v>
      </c>
      <c r="H19" s="4">
        <v>20</v>
      </c>
      <c r="I19" s="4">
        <v>27</v>
      </c>
      <c r="J19" s="4"/>
      <c r="K19" s="4"/>
      <c r="L19" s="4">
        <v>50</v>
      </c>
    </row>
    <row r="20" spans="1:12" x14ac:dyDescent="0.35">
      <c r="A20" t="s">
        <v>58</v>
      </c>
      <c r="D20" s="4">
        <v>2</v>
      </c>
      <c r="E20" s="4">
        <v>3</v>
      </c>
      <c r="F20" s="4">
        <v>2.6666666666666665</v>
      </c>
      <c r="G20" s="4">
        <v>3</v>
      </c>
      <c r="H20" s="4">
        <v>3</v>
      </c>
      <c r="I20" s="4">
        <v>3</v>
      </c>
      <c r="J20" s="4"/>
      <c r="K20" s="4"/>
      <c r="L20" s="4">
        <v>2.8</v>
      </c>
    </row>
    <row r="21" spans="1:12" x14ac:dyDescent="0.35">
      <c r="A21" t="s">
        <v>59</v>
      </c>
      <c r="D21" s="4">
        <v>1</v>
      </c>
      <c r="E21" s="4">
        <v>2</v>
      </c>
      <c r="F21" s="4">
        <v>3</v>
      </c>
      <c r="G21" s="4">
        <v>1</v>
      </c>
      <c r="H21" s="4">
        <v>1</v>
      </c>
      <c r="I21" s="4">
        <v>2</v>
      </c>
      <c r="J21" s="4"/>
      <c r="K21" s="4"/>
      <c r="L21" s="4">
        <v>5</v>
      </c>
    </row>
    <row r="22" spans="1:12" x14ac:dyDescent="0.35">
      <c r="A22" t="s">
        <v>13</v>
      </c>
      <c r="B22" t="s">
        <v>20</v>
      </c>
      <c r="C22" t="s">
        <v>7</v>
      </c>
      <c r="D22" s="4">
        <v>4</v>
      </c>
      <c r="E22" s="4"/>
      <c r="F22" s="4">
        <v>4</v>
      </c>
      <c r="G22" s="4"/>
      <c r="H22" s="4"/>
      <c r="I22" s="4"/>
      <c r="J22" s="4"/>
      <c r="K22" s="4"/>
      <c r="L22" s="4">
        <v>4</v>
      </c>
    </row>
    <row r="23" spans="1:12" x14ac:dyDescent="0.35">
      <c r="C23" t="s">
        <v>14</v>
      </c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5">
      <c r="B24" t="s">
        <v>46</v>
      </c>
      <c r="C24" t="s">
        <v>7</v>
      </c>
      <c r="D24" s="4">
        <v>2</v>
      </c>
      <c r="E24" s="4"/>
      <c r="F24" s="4">
        <v>2</v>
      </c>
      <c r="G24" s="4"/>
      <c r="H24" s="4"/>
      <c r="I24" s="4"/>
      <c r="J24" s="4"/>
      <c r="K24" s="4"/>
      <c r="L24" s="4">
        <v>2</v>
      </c>
    </row>
    <row r="25" spans="1:12" x14ac:dyDescent="0.35">
      <c r="C25" t="s">
        <v>14</v>
      </c>
      <c r="D25" s="4"/>
      <c r="E25" s="4"/>
      <c r="F25" s="4"/>
      <c r="G25" s="4"/>
      <c r="H25" s="4"/>
      <c r="I25" s="4"/>
      <c r="J25" s="4">
        <v>5</v>
      </c>
      <c r="K25" s="4">
        <v>5</v>
      </c>
      <c r="L25" s="4">
        <v>5</v>
      </c>
    </row>
    <row r="26" spans="1:12" x14ac:dyDescent="0.35">
      <c r="B26" t="s">
        <v>51</v>
      </c>
      <c r="C26" t="s">
        <v>7</v>
      </c>
      <c r="D26" s="4">
        <v>1</v>
      </c>
      <c r="E26" s="4"/>
      <c r="F26" s="4">
        <v>1</v>
      </c>
      <c r="G26" s="4"/>
      <c r="H26" s="4"/>
      <c r="I26" s="4"/>
      <c r="J26" s="4"/>
      <c r="K26" s="4"/>
      <c r="L26" s="4">
        <v>1</v>
      </c>
    </row>
    <row r="27" spans="1:12" x14ac:dyDescent="0.35">
      <c r="C27" t="s">
        <v>14</v>
      </c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5">
      <c r="A28" t="s">
        <v>60</v>
      </c>
      <c r="D28" s="4">
        <v>4</v>
      </c>
      <c r="E28" s="4"/>
      <c r="F28" s="4">
        <v>4</v>
      </c>
      <c r="G28" s="4"/>
      <c r="H28" s="4"/>
      <c r="I28" s="4"/>
      <c r="J28" s="4"/>
      <c r="K28" s="4"/>
      <c r="L28" s="4">
        <v>4</v>
      </c>
    </row>
    <row r="29" spans="1:12" x14ac:dyDescent="0.35">
      <c r="A29" t="s">
        <v>61</v>
      </c>
      <c r="D29" s="4">
        <v>2</v>
      </c>
      <c r="E29" s="4"/>
      <c r="F29" s="4">
        <v>2</v>
      </c>
      <c r="G29" s="4"/>
      <c r="H29" s="4"/>
      <c r="I29" s="4"/>
      <c r="J29" s="4">
        <v>5</v>
      </c>
      <c r="K29" s="4">
        <v>5</v>
      </c>
      <c r="L29" s="4">
        <v>3.5</v>
      </c>
    </row>
    <row r="30" spans="1:12" x14ac:dyDescent="0.35">
      <c r="A30" t="s">
        <v>62</v>
      </c>
      <c r="D30" s="4">
        <v>1</v>
      </c>
      <c r="E30" s="4"/>
      <c r="F30" s="4">
        <v>1</v>
      </c>
      <c r="G30" s="4"/>
      <c r="H30" s="4"/>
      <c r="I30" s="4"/>
      <c r="J30" s="4"/>
      <c r="K30" s="4"/>
      <c r="L30" s="4">
        <v>1</v>
      </c>
    </row>
    <row r="31" spans="1:12" x14ac:dyDescent="0.35">
      <c r="A31" t="s">
        <v>44</v>
      </c>
      <c r="D31" s="4">
        <v>17</v>
      </c>
      <c r="E31" s="4">
        <v>23</v>
      </c>
      <c r="F31" s="4">
        <v>40</v>
      </c>
      <c r="G31" s="4">
        <v>12</v>
      </c>
      <c r="H31" s="4">
        <v>18</v>
      </c>
      <c r="I31" s="4">
        <v>30</v>
      </c>
      <c r="J31" s="4"/>
      <c r="K31" s="4"/>
      <c r="L31" s="4">
        <v>70</v>
      </c>
    </row>
    <row r="32" spans="1:12" x14ac:dyDescent="0.35">
      <c r="A32" t="s">
        <v>45</v>
      </c>
      <c r="D32" s="4">
        <v>3</v>
      </c>
      <c r="E32" s="4">
        <v>2.3333333333333335</v>
      </c>
      <c r="F32" s="4">
        <v>2.7142857142857144</v>
      </c>
      <c r="G32" s="4">
        <v>2</v>
      </c>
      <c r="H32" s="4">
        <v>2</v>
      </c>
      <c r="I32" s="4">
        <v>2</v>
      </c>
      <c r="J32" s="4">
        <v>5</v>
      </c>
      <c r="K32" s="4">
        <v>5</v>
      </c>
      <c r="L32" s="4">
        <v>2.6666666666666665</v>
      </c>
    </row>
    <row r="33" spans="1:12" x14ac:dyDescent="0.35">
      <c r="A33" t="s">
        <v>50</v>
      </c>
      <c r="D33" s="4">
        <v>4</v>
      </c>
      <c r="E33" s="4">
        <v>3</v>
      </c>
      <c r="F33" s="4">
        <v>7</v>
      </c>
      <c r="G33" s="4">
        <v>2</v>
      </c>
      <c r="H33" s="4">
        <v>2</v>
      </c>
      <c r="I33" s="4">
        <v>4</v>
      </c>
      <c r="J33" s="4"/>
      <c r="K33" s="4"/>
      <c r="L33" s="4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18BD-A9E1-4BC0-9879-A213BAEEEE8E}">
  <dimension ref="A1:AC14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8" width="11.81640625" bestFit="1" customWidth="1"/>
    <col min="9" max="9" width="9.54296875" bestFit="1" customWidth="1"/>
    <col min="10" max="10" width="11.81640625" bestFit="1" customWidth="1"/>
    <col min="11" max="11" width="8.08984375" bestFit="1" customWidth="1"/>
    <col min="12" max="17" width="8.1796875" bestFit="1" customWidth="1"/>
    <col min="18" max="18" width="9.54296875" bestFit="1" customWidth="1"/>
    <col min="19" max="19" width="9.6328125" bestFit="1" customWidth="1"/>
    <col min="20" max="20" width="8.08984375" bestFit="1" customWidth="1"/>
    <col min="21" max="23" width="8.1796875" bestFit="1" customWidth="1"/>
    <col min="24" max="24" width="9.7265625" bestFit="1" customWidth="1"/>
    <col min="25" max="25" width="9.81640625" bestFit="1" customWidth="1"/>
    <col min="26" max="26" width="8.26953125" bestFit="1" customWidth="1"/>
    <col min="27" max="27" width="12.54296875" bestFit="1" customWidth="1"/>
    <col min="28" max="28" width="12.6328125" bestFit="1" customWidth="1"/>
    <col min="29" max="29" width="11.08984375" bestFit="1" customWidth="1"/>
  </cols>
  <sheetData>
    <row r="1" spans="1:29" x14ac:dyDescent="0.35">
      <c r="C1" s="1" t="s">
        <v>2</v>
      </c>
      <c r="D1" s="1" t="s">
        <v>52</v>
      </c>
      <c r="E1" s="1" t="s">
        <v>3</v>
      </c>
    </row>
    <row r="2" spans="1:29" x14ac:dyDescent="0.35">
      <c r="C2" t="s">
        <v>8</v>
      </c>
      <c r="I2" t="s">
        <v>38</v>
      </c>
      <c r="J2" t="s">
        <v>39</v>
      </c>
      <c r="K2" t="s">
        <v>47</v>
      </c>
      <c r="L2" t="s">
        <v>11</v>
      </c>
      <c r="R2" t="s">
        <v>40</v>
      </c>
      <c r="S2" t="s">
        <v>41</v>
      </c>
      <c r="T2" t="s">
        <v>48</v>
      </c>
      <c r="U2" t="s">
        <v>15</v>
      </c>
      <c r="X2" t="s">
        <v>42</v>
      </c>
      <c r="Y2" t="s">
        <v>43</v>
      </c>
      <c r="Z2" t="s">
        <v>49</v>
      </c>
      <c r="AA2" t="s">
        <v>44</v>
      </c>
      <c r="AB2" t="s">
        <v>45</v>
      </c>
      <c r="AC2" t="s">
        <v>50</v>
      </c>
    </row>
    <row r="3" spans="1:29" x14ac:dyDescent="0.35">
      <c r="C3" t="s">
        <v>20</v>
      </c>
      <c r="E3" t="s">
        <v>46</v>
      </c>
      <c r="G3" t="s">
        <v>51</v>
      </c>
      <c r="L3" t="s">
        <v>20</v>
      </c>
      <c r="N3" t="s">
        <v>46</v>
      </c>
      <c r="P3" t="s">
        <v>51</v>
      </c>
      <c r="U3" t="s">
        <v>20</v>
      </c>
      <c r="V3" t="s">
        <v>46</v>
      </c>
      <c r="W3" t="s">
        <v>51</v>
      </c>
    </row>
    <row r="4" spans="1:29" x14ac:dyDescent="0.35">
      <c r="A4" s="1" t="s">
        <v>0</v>
      </c>
      <c r="B4" s="1" t="s">
        <v>1</v>
      </c>
      <c r="C4" t="s">
        <v>9</v>
      </c>
      <c r="D4" t="s">
        <v>12</v>
      </c>
      <c r="E4" t="s">
        <v>9</v>
      </c>
      <c r="F4" t="s">
        <v>12</v>
      </c>
      <c r="G4" t="s">
        <v>9</v>
      </c>
      <c r="H4" t="s">
        <v>12</v>
      </c>
      <c r="L4" t="s">
        <v>9</v>
      </c>
      <c r="M4" t="s">
        <v>12</v>
      </c>
      <c r="N4" t="s">
        <v>9</v>
      </c>
      <c r="O4" t="s">
        <v>12</v>
      </c>
      <c r="P4" t="s">
        <v>9</v>
      </c>
      <c r="Q4" t="s">
        <v>12</v>
      </c>
      <c r="U4" t="s">
        <v>16</v>
      </c>
      <c r="V4" t="s">
        <v>16</v>
      </c>
      <c r="W4" t="s">
        <v>16</v>
      </c>
    </row>
    <row r="5" spans="1:29" x14ac:dyDescent="0.35">
      <c r="A5" t="s">
        <v>6</v>
      </c>
      <c r="B5" t="s">
        <v>7</v>
      </c>
      <c r="C5" s="4">
        <v>13</v>
      </c>
      <c r="D5" s="4"/>
      <c r="E5" s="4">
        <v>4</v>
      </c>
      <c r="F5" s="4"/>
      <c r="G5" s="4">
        <v>2</v>
      </c>
      <c r="H5" s="4"/>
      <c r="I5" s="4">
        <v>13</v>
      </c>
      <c r="J5" s="4">
        <v>4</v>
      </c>
      <c r="K5" s="4">
        <v>2</v>
      </c>
      <c r="L5" s="4"/>
      <c r="M5" s="4">
        <v>-2</v>
      </c>
      <c r="N5" s="4"/>
      <c r="O5" s="4">
        <v>1</v>
      </c>
      <c r="P5" s="4"/>
      <c r="Q5" s="4">
        <v>1</v>
      </c>
      <c r="R5" s="4">
        <v>-2</v>
      </c>
      <c r="S5" s="4">
        <v>1</v>
      </c>
      <c r="T5" s="4">
        <v>1</v>
      </c>
      <c r="U5" s="4"/>
      <c r="V5" s="4"/>
      <c r="W5" s="4"/>
      <c r="X5" s="4"/>
      <c r="Y5" s="4"/>
      <c r="Z5" s="4"/>
      <c r="AA5" s="4">
        <v>11</v>
      </c>
      <c r="AB5" s="4">
        <v>3</v>
      </c>
      <c r="AC5" s="4">
        <v>3</v>
      </c>
    </row>
    <row r="6" spans="1:29" x14ac:dyDescent="0.35">
      <c r="B6" t="s">
        <v>13</v>
      </c>
      <c r="C6" s="4"/>
      <c r="D6" s="4">
        <v>0</v>
      </c>
      <c r="E6" s="4"/>
      <c r="F6" s="4">
        <v>1</v>
      </c>
      <c r="G6" s="4"/>
      <c r="H6" s="4">
        <v>1</v>
      </c>
      <c r="I6" s="4">
        <v>0</v>
      </c>
      <c r="J6" s="4">
        <v>1</v>
      </c>
      <c r="K6" s="4">
        <v>1</v>
      </c>
      <c r="L6" s="4">
        <v>5</v>
      </c>
      <c r="M6" s="4"/>
      <c r="N6" s="4">
        <v>1</v>
      </c>
      <c r="O6" s="4"/>
      <c r="P6" s="4">
        <v>1</v>
      </c>
      <c r="Q6" s="4"/>
      <c r="R6" s="4">
        <v>5</v>
      </c>
      <c r="S6" s="4">
        <v>1</v>
      </c>
      <c r="T6" s="4">
        <v>1</v>
      </c>
      <c r="U6" s="4"/>
      <c r="V6" s="4"/>
      <c r="W6" s="4"/>
      <c r="X6" s="4"/>
      <c r="Y6" s="4"/>
      <c r="Z6" s="4"/>
      <c r="AA6" s="4">
        <v>5</v>
      </c>
      <c r="AB6" s="4">
        <v>1</v>
      </c>
      <c r="AC6" s="4">
        <v>2</v>
      </c>
    </row>
    <row r="7" spans="1:29" x14ac:dyDescent="0.35">
      <c r="A7" t="s">
        <v>21</v>
      </c>
      <c r="C7" s="4">
        <v>13</v>
      </c>
      <c r="D7" s="4">
        <v>0</v>
      </c>
      <c r="E7" s="4">
        <v>4</v>
      </c>
      <c r="F7" s="4">
        <v>1</v>
      </c>
      <c r="G7" s="4">
        <v>2</v>
      </c>
      <c r="H7" s="4">
        <v>1</v>
      </c>
      <c r="I7" s="4">
        <v>13</v>
      </c>
      <c r="J7" s="4">
        <v>3</v>
      </c>
      <c r="K7" s="4">
        <v>3</v>
      </c>
      <c r="L7" s="4">
        <v>5</v>
      </c>
      <c r="M7" s="4">
        <v>-2</v>
      </c>
      <c r="N7" s="4">
        <v>1</v>
      </c>
      <c r="O7" s="4">
        <v>1</v>
      </c>
      <c r="P7" s="4">
        <v>1</v>
      </c>
      <c r="Q7" s="4">
        <v>1</v>
      </c>
      <c r="R7" s="4">
        <v>3</v>
      </c>
      <c r="S7" s="4">
        <v>1</v>
      </c>
      <c r="T7" s="4">
        <v>2</v>
      </c>
      <c r="U7" s="4"/>
      <c r="V7" s="4"/>
      <c r="W7" s="4"/>
      <c r="X7" s="4"/>
      <c r="Y7" s="4"/>
      <c r="Z7" s="4"/>
      <c r="AA7" s="4">
        <v>16</v>
      </c>
      <c r="AB7" s="4">
        <v>2.2000000000000002</v>
      </c>
      <c r="AC7" s="4">
        <v>5</v>
      </c>
    </row>
    <row r="8" spans="1:29" x14ac:dyDescent="0.35">
      <c r="A8" t="s">
        <v>10</v>
      </c>
      <c r="B8" t="s">
        <v>7</v>
      </c>
      <c r="C8" s="4">
        <v>0</v>
      </c>
      <c r="D8" s="4">
        <v>8</v>
      </c>
      <c r="E8" s="4">
        <v>2</v>
      </c>
      <c r="F8" s="4">
        <v>2</v>
      </c>
      <c r="G8" s="4">
        <v>1</v>
      </c>
      <c r="H8" s="4">
        <v>1</v>
      </c>
      <c r="I8" s="4">
        <v>8</v>
      </c>
      <c r="J8" s="4">
        <v>2</v>
      </c>
      <c r="K8" s="4">
        <v>2</v>
      </c>
      <c r="L8" s="4"/>
      <c r="M8" s="4">
        <v>20</v>
      </c>
      <c r="N8" s="4"/>
      <c r="O8" s="4">
        <v>3</v>
      </c>
      <c r="P8" s="4"/>
      <c r="Q8" s="4">
        <v>1</v>
      </c>
      <c r="R8" s="4">
        <v>20</v>
      </c>
      <c r="S8" s="4">
        <v>3</v>
      </c>
      <c r="T8" s="4">
        <v>1</v>
      </c>
      <c r="U8" s="4"/>
      <c r="V8" s="4"/>
      <c r="W8" s="4"/>
      <c r="X8" s="4"/>
      <c r="Y8" s="4"/>
      <c r="Z8" s="4"/>
      <c r="AA8" s="4">
        <v>28</v>
      </c>
      <c r="AB8" s="4">
        <v>2.3333333333333335</v>
      </c>
      <c r="AC8" s="4">
        <v>3</v>
      </c>
    </row>
    <row r="9" spans="1:29" x14ac:dyDescent="0.35">
      <c r="B9" t="s">
        <v>13</v>
      </c>
      <c r="C9" s="4"/>
      <c r="D9" s="4">
        <v>15</v>
      </c>
      <c r="E9" s="4"/>
      <c r="F9" s="4">
        <v>4</v>
      </c>
      <c r="G9" s="4"/>
      <c r="H9" s="4">
        <v>1</v>
      </c>
      <c r="I9" s="4">
        <v>15</v>
      </c>
      <c r="J9" s="4">
        <v>4</v>
      </c>
      <c r="K9" s="4">
        <v>1</v>
      </c>
      <c r="L9" s="4">
        <v>7</v>
      </c>
      <c r="M9" s="4"/>
      <c r="N9" s="4">
        <v>3</v>
      </c>
      <c r="O9" s="4"/>
      <c r="P9" s="4">
        <v>1</v>
      </c>
      <c r="Q9" s="4"/>
      <c r="R9" s="4">
        <v>7</v>
      </c>
      <c r="S9" s="4">
        <v>3</v>
      </c>
      <c r="T9" s="4">
        <v>1</v>
      </c>
      <c r="U9" s="4"/>
      <c r="V9" s="4"/>
      <c r="W9" s="4"/>
      <c r="X9" s="4"/>
      <c r="Y9" s="4"/>
      <c r="Z9" s="4"/>
      <c r="AA9" s="4">
        <v>22</v>
      </c>
      <c r="AB9" s="4">
        <v>3.5</v>
      </c>
      <c r="AC9" s="4">
        <v>2</v>
      </c>
    </row>
    <row r="10" spans="1:29" x14ac:dyDescent="0.35">
      <c r="A10" t="s">
        <v>22</v>
      </c>
      <c r="C10" s="4">
        <v>0</v>
      </c>
      <c r="D10" s="4">
        <v>23</v>
      </c>
      <c r="E10" s="4">
        <v>2</v>
      </c>
      <c r="F10" s="4">
        <v>3</v>
      </c>
      <c r="G10" s="4">
        <v>1</v>
      </c>
      <c r="H10" s="4">
        <v>2</v>
      </c>
      <c r="I10" s="4">
        <v>23</v>
      </c>
      <c r="J10" s="4">
        <v>2.6666666666666665</v>
      </c>
      <c r="K10" s="4">
        <v>3</v>
      </c>
      <c r="L10" s="4">
        <v>7</v>
      </c>
      <c r="M10" s="4">
        <v>20</v>
      </c>
      <c r="N10" s="4">
        <v>3</v>
      </c>
      <c r="O10" s="4">
        <v>3</v>
      </c>
      <c r="P10" s="4">
        <v>1</v>
      </c>
      <c r="Q10" s="4">
        <v>1</v>
      </c>
      <c r="R10" s="4">
        <v>27</v>
      </c>
      <c r="S10" s="4">
        <v>3</v>
      </c>
      <c r="T10" s="4">
        <v>2</v>
      </c>
      <c r="U10" s="4"/>
      <c r="V10" s="4"/>
      <c r="W10" s="4"/>
      <c r="X10" s="4"/>
      <c r="Y10" s="4"/>
      <c r="Z10" s="4"/>
      <c r="AA10" s="4">
        <v>50</v>
      </c>
      <c r="AB10" s="4">
        <v>2.8</v>
      </c>
      <c r="AC10" s="4">
        <v>5</v>
      </c>
    </row>
    <row r="11" spans="1:29" x14ac:dyDescent="0.35">
      <c r="A11" t="s">
        <v>13</v>
      </c>
      <c r="B11" t="s">
        <v>7</v>
      </c>
      <c r="C11" s="4">
        <v>4</v>
      </c>
      <c r="D11" s="4"/>
      <c r="E11" s="4">
        <v>2</v>
      </c>
      <c r="F11" s="4"/>
      <c r="G11" s="4">
        <v>1</v>
      </c>
      <c r="H11" s="4"/>
      <c r="I11" s="4">
        <v>4</v>
      </c>
      <c r="J11" s="4">
        <v>2</v>
      </c>
      <c r="K11" s="4"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>
        <v>4</v>
      </c>
      <c r="AB11" s="4">
        <v>2</v>
      </c>
      <c r="AC11" s="4">
        <v>1</v>
      </c>
    </row>
    <row r="12" spans="1:29" x14ac:dyDescent="0.35">
      <c r="B12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v>5</v>
      </c>
      <c r="W12" s="4"/>
      <c r="X12" s="4"/>
      <c r="Y12" s="4">
        <v>5</v>
      </c>
      <c r="Z12" s="4"/>
      <c r="AA12" s="4"/>
      <c r="AB12" s="4">
        <v>5</v>
      </c>
      <c r="AC12" s="4"/>
    </row>
    <row r="13" spans="1:29" x14ac:dyDescent="0.35">
      <c r="A13" t="s">
        <v>23</v>
      </c>
      <c r="C13" s="4">
        <v>4</v>
      </c>
      <c r="D13" s="4"/>
      <c r="E13" s="4">
        <v>2</v>
      </c>
      <c r="F13" s="4"/>
      <c r="G13" s="4">
        <v>1</v>
      </c>
      <c r="H13" s="4"/>
      <c r="I13" s="4">
        <v>4</v>
      </c>
      <c r="J13" s="4">
        <v>2</v>
      </c>
      <c r="K13" s="4">
        <v>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5</v>
      </c>
      <c r="W13" s="4"/>
      <c r="X13" s="4"/>
      <c r="Y13" s="4">
        <v>5</v>
      </c>
      <c r="Z13" s="4"/>
      <c r="AA13" s="4">
        <v>4</v>
      </c>
      <c r="AB13" s="4">
        <v>3.5</v>
      </c>
      <c r="AC13" s="4">
        <v>1</v>
      </c>
    </row>
    <row r="14" spans="1:29" x14ac:dyDescent="0.35">
      <c r="A14" t="s">
        <v>19</v>
      </c>
      <c r="C14" s="4">
        <v>17</v>
      </c>
      <c r="D14" s="4">
        <v>23</v>
      </c>
      <c r="E14" s="4">
        <v>3</v>
      </c>
      <c r="F14" s="4">
        <v>2.3333333333333335</v>
      </c>
      <c r="G14" s="4">
        <v>4</v>
      </c>
      <c r="H14" s="4">
        <v>3</v>
      </c>
      <c r="I14" s="4">
        <v>40</v>
      </c>
      <c r="J14" s="4">
        <v>2.7142857142857144</v>
      </c>
      <c r="K14" s="4">
        <v>7</v>
      </c>
      <c r="L14" s="4">
        <v>12</v>
      </c>
      <c r="M14" s="4">
        <v>18</v>
      </c>
      <c r="N14" s="4">
        <v>2</v>
      </c>
      <c r="O14" s="4">
        <v>2</v>
      </c>
      <c r="P14" s="4">
        <v>2</v>
      </c>
      <c r="Q14" s="4">
        <v>2</v>
      </c>
      <c r="R14" s="4">
        <v>30</v>
      </c>
      <c r="S14" s="4">
        <v>2</v>
      </c>
      <c r="T14" s="4">
        <v>4</v>
      </c>
      <c r="U14" s="4"/>
      <c r="V14" s="4">
        <v>5</v>
      </c>
      <c r="W14" s="4"/>
      <c r="X14" s="4"/>
      <c r="Y14" s="4">
        <v>5</v>
      </c>
      <c r="Z14" s="4"/>
      <c r="AA14" s="4">
        <v>70</v>
      </c>
      <c r="AB14" s="4">
        <v>2.6666666666666665</v>
      </c>
      <c r="AC14" s="4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F2B3-9234-49E5-9C4E-FE16C099FCEB}">
  <dimension ref="A1:L33"/>
  <sheetViews>
    <sheetView workbookViewId="0"/>
  </sheetViews>
  <sheetFormatPr defaultRowHeight="14.5" x14ac:dyDescent="0.35"/>
  <cols>
    <col min="1" max="1" width="13.54296875" bestFit="1" customWidth="1"/>
    <col min="2" max="2" width="15.6328125" bestFit="1" customWidth="1"/>
    <col min="3" max="3" width="8.7265625" bestFit="1" customWidth="1"/>
    <col min="4" max="6" width="11.81640625" bestFit="1" customWidth="1"/>
    <col min="7" max="8" width="5.7265625" bestFit="1" customWidth="1"/>
    <col min="9" max="9" width="6.36328125" bestFit="1" customWidth="1"/>
    <col min="10" max="10" width="5.90625" bestFit="1" customWidth="1"/>
    <col min="11" max="11" width="6.54296875" bestFit="1" customWidth="1"/>
    <col min="12" max="12" width="11.81640625" bestFit="1" customWidth="1"/>
    <col min="13" max="13" width="6.6328125" bestFit="1" customWidth="1"/>
    <col min="14" max="14" width="8.08984375" bestFit="1" customWidth="1"/>
    <col min="15" max="15" width="8.1796875" bestFit="1" customWidth="1"/>
    <col min="16" max="16" width="6.6328125" bestFit="1" customWidth="1"/>
    <col min="17" max="17" width="9.54296875" bestFit="1" customWidth="1"/>
    <col min="18" max="18" width="9.6328125" bestFit="1" customWidth="1"/>
    <col min="19" max="20" width="8.08984375" bestFit="1" customWidth="1"/>
    <col min="21" max="21" width="8.1796875" bestFit="1" customWidth="1"/>
    <col min="22" max="22" width="6.6328125" bestFit="1" customWidth="1"/>
    <col min="23" max="23" width="9.7265625" bestFit="1" customWidth="1"/>
    <col min="24" max="24" width="9.81640625" bestFit="1" customWidth="1"/>
    <col min="25" max="25" width="8.26953125" bestFit="1" customWidth="1"/>
    <col min="26" max="26" width="12.54296875" bestFit="1" customWidth="1"/>
    <col min="27" max="27" width="12.6328125" bestFit="1" customWidth="1"/>
    <col min="28" max="28" width="11.08984375" bestFit="1" customWidth="1"/>
  </cols>
  <sheetData>
    <row r="1" spans="1:12" x14ac:dyDescent="0.35">
      <c r="D1" s="1" t="s">
        <v>2</v>
      </c>
      <c r="E1" s="1" t="s">
        <v>3</v>
      </c>
    </row>
    <row r="2" spans="1:12" x14ac:dyDescent="0.35">
      <c r="D2" t="s">
        <v>8</v>
      </c>
      <c r="F2" t="s">
        <v>26</v>
      </c>
      <c r="G2" t="s">
        <v>11</v>
      </c>
      <c r="I2" t="s">
        <v>27</v>
      </c>
      <c r="J2" t="s">
        <v>15</v>
      </c>
      <c r="K2" t="s">
        <v>28</v>
      </c>
      <c r="L2" t="s">
        <v>19</v>
      </c>
    </row>
    <row r="3" spans="1:12" x14ac:dyDescent="0.35">
      <c r="A3" s="1" t="s">
        <v>0</v>
      </c>
      <c r="B3" s="1" t="s">
        <v>1</v>
      </c>
      <c r="C3" s="1" t="s">
        <v>52</v>
      </c>
      <c r="D3" t="s">
        <v>9</v>
      </c>
      <c r="E3" t="s">
        <v>12</v>
      </c>
      <c r="G3" t="s">
        <v>9</v>
      </c>
      <c r="H3" t="s">
        <v>12</v>
      </c>
      <c r="J3" t="s">
        <v>16</v>
      </c>
    </row>
    <row r="4" spans="1:12" x14ac:dyDescent="0.35">
      <c r="A4" t="s">
        <v>6</v>
      </c>
      <c r="B4" t="s">
        <v>7</v>
      </c>
      <c r="C4" t="s">
        <v>20</v>
      </c>
      <c r="D4" s="4">
        <v>13</v>
      </c>
      <c r="E4" s="4"/>
      <c r="F4" s="4">
        <v>13</v>
      </c>
      <c r="G4" s="4"/>
      <c r="H4" s="4">
        <v>-2</v>
      </c>
      <c r="I4" s="4">
        <v>-2</v>
      </c>
      <c r="J4" s="4"/>
      <c r="K4" s="4"/>
      <c r="L4" s="4">
        <v>11</v>
      </c>
    </row>
    <row r="5" spans="1:12" x14ac:dyDescent="0.35">
      <c r="C5" t="s">
        <v>46</v>
      </c>
      <c r="D5" s="4">
        <v>4</v>
      </c>
      <c r="E5" s="4"/>
      <c r="F5" s="4">
        <v>4</v>
      </c>
      <c r="G5" s="4"/>
      <c r="H5" s="4">
        <v>1</v>
      </c>
      <c r="I5" s="4">
        <v>1</v>
      </c>
      <c r="J5" s="4"/>
      <c r="K5" s="4"/>
      <c r="L5" s="4">
        <v>3</v>
      </c>
    </row>
    <row r="6" spans="1:12" x14ac:dyDescent="0.35">
      <c r="C6" t="s">
        <v>51</v>
      </c>
      <c r="D6" s="4">
        <v>2</v>
      </c>
      <c r="E6" s="4"/>
      <c r="F6" s="4">
        <v>2</v>
      </c>
      <c r="G6" s="4"/>
      <c r="H6" s="4">
        <v>1</v>
      </c>
      <c r="I6" s="4">
        <v>1</v>
      </c>
      <c r="J6" s="4"/>
      <c r="K6" s="4"/>
      <c r="L6" s="4">
        <v>3</v>
      </c>
    </row>
    <row r="7" spans="1:12" x14ac:dyDescent="0.35">
      <c r="B7" t="s">
        <v>13</v>
      </c>
      <c r="C7" t="s">
        <v>20</v>
      </c>
      <c r="D7" s="4"/>
      <c r="E7" s="4">
        <v>0</v>
      </c>
      <c r="F7" s="4">
        <v>0</v>
      </c>
      <c r="G7" s="4">
        <v>5</v>
      </c>
      <c r="H7" s="4"/>
      <c r="I7" s="4">
        <v>5</v>
      </c>
      <c r="J7" s="4"/>
      <c r="K7" s="4"/>
      <c r="L7" s="4">
        <v>5</v>
      </c>
    </row>
    <row r="8" spans="1:12" x14ac:dyDescent="0.35">
      <c r="C8" t="s">
        <v>46</v>
      </c>
      <c r="D8" s="4"/>
      <c r="E8" s="4">
        <v>1</v>
      </c>
      <c r="F8" s="4">
        <v>1</v>
      </c>
      <c r="G8" s="4">
        <v>1</v>
      </c>
      <c r="H8" s="4"/>
      <c r="I8" s="4">
        <v>1</v>
      </c>
      <c r="J8" s="4"/>
      <c r="K8" s="4"/>
      <c r="L8" s="4">
        <v>1</v>
      </c>
    </row>
    <row r="9" spans="1:12" x14ac:dyDescent="0.35">
      <c r="C9" t="s">
        <v>51</v>
      </c>
      <c r="D9" s="4"/>
      <c r="E9" s="4">
        <v>1</v>
      </c>
      <c r="F9" s="4">
        <v>1</v>
      </c>
      <c r="G9" s="4">
        <v>1</v>
      </c>
      <c r="H9" s="4"/>
      <c r="I9" s="4">
        <v>1</v>
      </c>
      <c r="J9" s="4"/>
      <c r="K9" s="4"/>
      <c r="L9" s="4">
        <v>2</v>
      </c>
    </row>
    <row r="10" spans="1:12" x14ac:dyDescent="0.35">
      <c r="A10" t="s">
        <v>54</v>
      </c>
      <c r="D10" s="4">
        <v>13</v>
      </c>
      <c r="E10" s="4">
        <v>0</v>
      </c>
      <c r="F10" s="4">
        <v>13</v>
      </c>
      <c r="G10" s="4">
        <v>5</v>
      </c>
      <c r="H10" s="4">
        <v>-2</v>
      </c>
      <c r="I10" s="4">
        <v>3</v>
      </c>
      <c r="J10" s="4"/>
      <c r="K10" s="4"/>
      <c r="L10" s="4">
        <v>16</v>
      </c>
    </row>
    <row r="11" spans="1:12" x14ac:dyDescent="0.35">
      <c r="A11" t="s">
        <v>55</v>
      </c>
      <c r="D11" s="4">
        <v>4</v>
      </c>
      <c r="E11" s="4">
        <v>1</v>
      </c>
      <c r="F11" s="4">
        <v>3</v>
      </c>
      <c r="G11" s="4">
        <v>1</v>
      </c>
      <c r="H11" s="4">
        <v>1</v>
      </c>
      <c r="I11" s="4">
        <v>1</v>
      </c>
      <c r="J11" s="4"/>
      <c r="K11" s="4"/>
      <c r="L11" s="4">
        <v>2.2000000000000002</v>
      </c>
    </row>
    <row r="12" spans="1:12" x14ac:dyDescent="0.35">
      <c r="A12" t="s">
        <v>56</v>
      </c>
      <c r="D12" s="4">
        <v>2</v>
      </c>
      <c r="E12" s="4">
        <v>1</v>
      </c>
      <c r="F12" s="4">
        <v>3</v>
      </c>
      <c r="G12" s="4">
        <v>1</v>
      </c>
      <c r="H12" s="4">
        <v>1</v>
      </c>
      <c r="I12" s="4">
        <v>2</v>
      </c>
      <c r="J12" s="4"/>
      <c r="K12" s="4"/>
      <c r="L12" s="4">
        <v>5</v>
      </c>
    </row>
    <row r="13" spans="1:12" x14ac:dyDescent="0.35">
      <c r="A13" t="s">
        <v>10</v>
      </c>
      <c r="B13" t="s">
        <v>7</v>
      </c>
      <c r="C13" t="s">
        <v>20</v>
      </c>
      <c r="D13" s="4">
        <v>0</v>
      </c>
      <c r="E13" s="4">
        <v>8</v>
      </c>
      <c r="F13" s="4">
        <v>8</v>
      </c>
      <c r="G13" s="4"/>
      <c r="H13" s="4">
        <v>20</v>
      </c>
      <c r="I13" s="4">
        <v>20</v>
      </c>
      <c r="J13" s="4"/>
      <c r="K13" s="4"/>
      <c r="L13" s="4">
        <v>28</v>
      </c>
    </row>
    <row r="14" spans="1:12" x14ac:dyDescent="0.35">
      <c r="C14" t="s">
        <v>46</v>
      </c>
      <c r="D14" s="4">
        <v>2</v>
      </c>
      <c r="E14" s="4">
        <v>2</v>
      </c>
      <c r="F14" s="4">
        <v>2</v>
      </c>
      <c r="G14" s="4"/>
      <c r="H14" s="4">
        <v>3</v>
      </c>
      <c r="I14" s="4">
        <v>3</v>
      </c>
      <c r="J14" s="4"/>
      <c r="K14" s="4"/>
      <c r="L14" s="4">
        <v>2.3333333333333335</v>
      </c>
    </row>
    <row r="15" spans="1:12" x14ac:dyDescent="0.35">
      <c r="C15" t="s">
        <v>51</v>
      </c>
      <c r="D15" s="4">
        <v>1</v>
      </c>
      <c r="E15" s="4">
        <v>1</v>
      </c>
      <c r="F15" s="4">
        <v>2</v>
      </c>
      <c r="G15" s="4"/>
      <c r="H15" s="4">
        <v>1</v>
      </c>
      <c r="I15" s="4">
        <v>1</v>
      </c>
      <c r="J15" s="4"/>
      <c r="K15" s="4"/>
      <c r="L15" s="4">
        <v>3</v>
      </c>
    </row>
    <row r="16" spans="1:12" x14ac:dyDescent="0.35">
      <c r="B16" t="s">
        <v>13</v>
      </c>
      <c r="C16" t="s">
        <v>20</v>
      </c>
      <c r="D16" s="4"/>
      <c r="E16" s="4">
        <v>15</v>
      </c>
      <c r="F16" s="4">
        <v>15</v>
      </c>
      <c r="G16" s="4">
        <v>7</v>
      </c>
      <c r="H16" s="4"/>
      <c r="I16" s="4">
        <v>7</v>
      </c>
      <c r="J16" s="4"/>
      <c r="K16" s="4"/>
      <c r="L16" s="4">
        <v>22</v>
      </c>
    </row>
    <row r="17" spans="1:12" x14ac:dyDescent="0.35">
      <c r="C17" t="s">
        <v>46</v>
      </c>
      <c r="D17" s="4"/>
      <c r="E17" s="4">
        <v>4</v>
      </c>
      <c r="F17" s="4">
        <v>4</v>
      </c>
      <c r="G17" s="4">
        <v>3</v>
      </c>
      <c r="H17" s="4"/>
      <c r="I17" s="4">
        <v>3</v>
      </c>
      <c r="J17" s="4"/>
      <c r="K17" s="4"/>
      <c r="L17" s="4">
        <v>3.5</v>
      </c>
    </row>
    <row r="18" spans="1:12" x14ac:dyDescent="0.35">
      <c r="C18" t="s">
        <v>51</v>
      </c>
      <c r="D18" s="4"/>
      <c r="E18" s="4">
        <v>1</v>
      </c>
      <c r="F18" s="4">
        <v>1</v>
      </c>
      <c r="G18" s="4">
        <v>1</v>
      </c>
      <c r="H18" s="4"/>
      <c r="I18" s="4">
        <v>1</v>
      </c>
      <c r="J18" s="4"/>
      <c r="K18" s="4"/>
      <c r="L18" s="4">
        <v>2</v>
      </c>
    </row>
    <row r="19" spans="1:12" x14ac:dyDescent="0.35">
      <c r="A19" t="s">
        <v>57</v>
      </c>
      <c r="D19" s="4">
        <v>0</v>
      </c>
      <c r="E19" s="4">
        <v>23</v>
      </c>
      <c r="F19" s="4">
        <v>23</v>
      </c>
      <c r="G19" s="4">
        <v>7</v>
      </c>
      <c r="H19" s="4">
        <v>20</v>
      </c>
      <c r="I19" s="4">
        <v>27</v>
      </c>
      <c r="J19" s="4"/>
      <c r="K19" s="4"/>
      <c r="L19" s="4">
        <v>50</v>
      </c>
    </row>
    <row r="20" spans="1:12" x14ac:dyDescent="0.35">
      <c r="A20" t="s">
        <v>58</v>
      </c>
      <c r="D20" s="4">
        <v>2</v>
      </c>
      <c r="E20" s="4">
        <v>3</v>
      </c>
      <c r="F20" s="4">
        <v>2.6666666666666665</v>
      </c>
      <c r="G20" s="4">
        <v>3</v>
      </c>
      <c r="H20" s="4">
        <v>3</v>
      </c>
      <c r="I20" s="4">
        <v>3</v>
      </c>
      <c r="J20" s="4"/>
      <c r="K20" s="4"/>
      <c r="L20" s="4">
        <v>2.8</v>
      </c>
    </row>
    <row r="21" spans="1:12" x14ac:dyDescent="0.35">
      <c r="A21" t="s">
        <v>59</v>
      </c>
      <c r="D21" s="4">
        <v>1</v>
      </c>
      <c r="E21" s="4">
        <v>2</v>
      </c>
      <c r="F21" s="4">
        <v>3</v>
      </c>
      <c r="G21" s="4">
        <v>1</v>
      </c>
      <c r="H21" s="4">
        <v>1</v>
      </c>
      <c r="I21" s="4">
        <v>2</v>
      </c>
      <c r="J21" s="4"/>
      <c r="K21" s="4"/>
      <c r="L21" s="4">
        <v>5</v>
      </c>
    </row>
    <row r="22" spans="1:12" x14ac:dyDescent="0.35">
      <c r="A22" t="s">
        <v>13</v>
      </c>
      <c r="B22" t="s">
        <v>7</v>
      </c>
      <c r="C22" t="s">
        <v>20</v>
      </c>
      <c r="D22" s="4">
        <v>4</v>
      </c>
      <c r="E22" s="4"/>
      <c r="F22" s="4">
        <v>4</v>
      </c>
      <c r="G22" s="4"/>
      <c r="H22" s="4"/>
      <c r="I22" s="4"/>
      <c r="J22" s="4"/>
      <c r="K22" s="4"/>
      <c r="L22" s="4">
        <v>4</v>
      </c>
    </row>
    <row r="23" spans="1:12" x14ac:dyDescent="0.35">
      <c r="C23" t="s">
        <v>46</v>
      </c>
      <c r="D23" s="4">
        <v>2</v>
      </c>
      <c r="E23" s="4"/>
      <c r="F23" s="4">
        <v>2</v>
      </c>
      <c r="G23" s="4"/>
      <c r="H23" s="4"/>
      <c r="I23" s="4"/>
      <c r="J23" s="4"/>
      <c r="K23" s="4"/>
      <c r="L23" s="4">
        <v>2</v>
      </c>
    </row>
    <row r="24" spans="1:12" x14ac:dyDescent="0.35">
      <c r="C24" t="s">
        <v>51</v>
      </c>
      <c r="D24" s="4">
        <v>1</v>
      </c>
      <c r="E24" s="4"/>
      <c r="F24" s="4">
        <v>1</v>
      </c>
      <c r="G24" s="4"/>
      <c r="H24" s="4"/>
      <c r="I24" s="4"/>
      <c r="J24" s="4"/>
      <c r="K24" s="4"/>
      <c r="L24" s="4">
        <v>1</v>
      </c>
    </row>
    <row r="25" spans="1:12" x14ac:dyDescent="0.35">
      <c r="B25" t="s">
        <v>14</v>
      </c>
      <c r="C25" t="s">
        <v>20</v>
      </c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5">
      <c r="C26" t="s">
        <v>46</v>
      </c>
      <c r="D26" s="4"/>
      <c r="E26" s="4"/>
      <c r="F26" s="4"/>
      <c r="G26" s="4"/>
      <c r="H26" s="4"/>
      <c r="I26" s="4"/>
      <c r="J26" s="4">
        <v>5</v>
      </c>
      <c r="K26" s="4">
        <v>5</v>
      </c>
      <c r="L26" s="4">
        <v>5</v>
      </c>
    </row>
    <row r="27" spans="1:12" x14ac:dyDescent="0.35">
      <c r="C27" t="s">
        <v>51</v>
      </c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5">
      <c r="A28" t="s">
        <v>60</v>
      </c>
      <c r="D28" s="4">
        <v>4</v>
      </c>
      <c r="E28" s="4"/>
      <c r="F28" s="4">
        <v>4</v>
      </c>
      <c r="G28" s="4"/>
      <c r="H28" s="4"/>
      <c r="I28" s="4"/>
      <c r="J28" s="4"/>
      <c r="K28" s="4"/>
      <c r="L28" s="4">
        <v>4</v>
      </c>
    </row>
    <row r="29" spans="1:12" x14ac:dyDescent="0.35">
      <c r="A29" t="s">
        <v>61</v>
      </c>
      <c r="D29" s="4">
        <v>2</v>
      </c>
      <c r="E29" s="4"/>
      <c r="F29" s="4">
        <v>2</v>
      </c>
      <c r="G29" s="4"/>
      <c r="H29" s="4"/>
      <c r="I29" s="4"/>
      <c r="J29" s="4">
        <v>5</v>
      </c>
      <c r="K29" s="4">
        <v>5</v>
      </c>
      <c r="L29" s="4">
        <v>3.5</v>
      </c>
    </row>
    <row r="30" spans="1:12" x14ac:dyDescent="0.35">
      <c r="A30" t="s">
        <v>62</v>
      </c>
      <c r="D30" s="4">
        <v>1</v>
      </c>
      <c r="E30" s="4"/>
      <c r="F30" s="4">
        <v>1</v>
      </c>
      <c r="G30" s="4"/>
      <c r="H30" s="4"/>
      <c r="I30" s="4"/>
      <c r="J30" s="4"/>
      <c r="K30" s="4"/>
      <c r="L30" s="4">
        <v>1</v>
      </c>
    </row>
    <row r="31" spans="1:12" x14ac:dyDescent="0.35">
      <c r="A31" t="s">
        <v>44</v>
      </c>
      <c r="D31" s="4">
        <v>17</v>
      </c>
      <c r="E31" s="4">
        <v>23</v>
      </c>
      <c r="F31" s="4">
        <v>40</v>
      </c>
      <c r="G31" s="4">
        <v>12</v>
      </c>
      <c r="H31" s="4">
        <v>18</v>
      </c>
      <c r="I31" s="4">
        <v>30</v>
      </c>
      <c r="J31" s="4"/>
      <c r="K31" s="4"/>
      <c r="L31" s="4">
        <v>70</v>
      </c>
    </row>
    <row r="32" spans="1:12" x14ac:dyDescent="0.35">
      <c r="A32" t="s">
        <v>45</v>
      </c>
      <c r="D32" s="4">
        <v>3</v>
      </c>
      <c r="E32" s="4">
        <v>2.3333333333333335</v>
      </c>
      <c r="F32" s="4">
        <v>2.7142857142857144</v>
      </c>
      <c r="G32" s="4">
        <v>2</v>
      </c>
      <c r="H32" s="4">
        <v>2</v>
      </c>
      <c r="I32" s="4">
        <v>2</v>
      </c>
      <c r="J32" s="4">
        <v>5</v>
      </c>
      <c r="K32" s="4">
        <v>5</v>
      </c>
      <c r="L32" s="4">
        <v>2.6666666666666665</v>
      </c>
    </row>
    <row r="33" spans="1:12" x14ac:dyDescent="0.35">
      <c r="A33" t="s">
        <v>50</v>
      </c>
      <c r="D33" s="4">
        <v>4</v>
      </c>
      <c r="E33" s="4">
        <v>3</v>
      </c>
      <c r="F33" s="4">
        <v>7</v>
      </c>
      <c r="G33" s="4">
        <v>2</v>
      </c>
      <c r="H33" s="4">
        <v>2</v>
      </c>
      <c r="I33" s="4">
        <v>4</v>
      </c>
      <c r="J33" s="4"/>
      <c r="K33" s="4"/>
      <c r="L33" s="4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0B91-8A4E-4FAB-9012-F69CEE48C755}">
  <dimension ref="A1:AC14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8" width="11.81640625" bestFit="1" customWidth="1"/>
    <col min="9" max="9" width="9.54296875" bestFit="1" customWidth="1"/>
    <col min="10" max="10" width="11.81640625" bestFit="1" customWidth="1"/>
    <col min="11" max="11" width="8.08984375" bestFit="1" customWidth="1"/>
    <col min="12" max="17" width="8.1796875" bestFit="1" customWidth="1"/>
    <col min="18" max="18" width="9.54296875" bestFit="1" customWidth="1"/>
    <col min="19" max="19" width="9.6328125" bestFit="1" customWidth="1"/>
    <col min="20" max="20" width="8.08984375" bestFit="1" customWidth="1"/>
    <col min="21" max="23" width="8.1796875" bestFit="1" customWidth="1"/>
    <col min="24" max="24" width="9.7265625" bestFit="1" customWidth="1"/>
    <col min="25" max="25" width="9.81640625" bestFit="1" customWidth="1"/>
    <col min="26" max="26" width="8.26953125" bestFit="1" customWidth="1"/>
    <col min="27" max="27" width="12.54296875" bestFit="1" customWidth="1"/>
    <col min="28" max="28" width="12.6328125" bestFit="1" customWidth="1"/>
    <col min="29" max="29" width="11.08984375" bestFit="1" customWidth="1"/>
  </cols>
  <sheetData>
    <row r="1" spans="1:29" x14ac:dyDescent="0.35">
      <c r="C1" s="1" t="s">
        <v>2</v>
      </c>
      <c r="D1" s="1" t="s">
        <v>3</v>
      </c>
      <c r="E1" s="1" t="s">
        <v>52</v>
      </c>
    </row>
    <row r="2" spans="1:29" x14ac:dyDescent="0.35">
      <c r="C2" t="s">
        <v>8</v>
      </c>
      <c r="I2" t="s">
        <v>38</v>
      </c>
      <c r="J2" t="s">
        <v>39</v>
      </c>
      <c r="K2" t="s">
        <v>47</v>
      </c>
      <c r="L2" t="s">
        <v>11</v>
      </c>
      <c r="R2" t="s">
        <v>40</v>
      </c>
      <c r="S2" t="s">
        <v>41</v>
      </c>
      <c r="T2" t="s">
        <v>48</v>
      </c>
      <c r="U2" t="s">
        <v>15</v>
      </c>
      <c r="X2" t="s">
        <v>42</v>
      </c>
      <c r="Y2" t="s">
        <v>43</v>
      </c>
      <c r="Z2" t="s">
        <v>49</v>
      </c>
      <c r="AA2" t="s">
        <v>44</v>
      </c>
      <c r="AB2" t="s">
        <v>45</v>
      </c>
      <c r="AC2" t="s">
        <v>50</v>
      </c>
    </row>
    <row r="3" spans="1:29" x14ac:dyDescent="0.35">
      <c r="C3" t="s">
        <v>9</v>
      </c>
      <c r="F3" t="s">
        <v>12</v>
      </c>
      <c r="L3" t="s">
        <v>9</v>
      </c>
      <c r="O3" t="s">
        <v>12</v>
      </c>
      <c r="U3" t="s">
        <v>16</v>
      </c>
    </row>
    <row r="4" spans="1:29" x14ac:dyDescent="0.35">
      <c r="A4" s="1" t="s">
        <v>0</v>
      </c>
      <c r="B4" s="1" t="s">
        <v>1</v>
      </c>
      <c r="C4" t="s">
        <v>20</v>
      </c>
      <c r="D4" t="s">
        <v>46</v>
      </c>
      <c r="E4" t="s">
        <v>51</v>
      </c>
      <c r="F4" t="s">
        <v>20</v>
      </c>
      <c r="G4" t="s">
        <v>46</v>
      </c>
      <c r="H4" t="s">
        <v>51</v>
      </c>
      <c r="L4" t="s">
        <v>20</v>
      </c>
      <c r="M4" t="s">
        <v>46</v>
      </c>
      <c r="N4" t="s">
        <v>51</v>
      </c>
      <c r="O4" t="s">
        <v>20</v>
      </c>
      <c r="P4" t="s">
        <v>46</v>
      </c>
      <c r="Q4" t="s">
        <v>51</v>
      </c>
      <c r="U4" t="s">
        <v>20</v>
      </c>
      <c r="V4" t="s">
        <v>46</v>
      </c>
      <c r="W4" t="s">
        <v>51</v>
      </c>
    </row>
    <row r="5" spans="1:29" x14ac:dyDescent="0.35">
      <c r="A5" t="s">
        <v>6</v>
      </c>
      <c r="B5" t="s">
        <v>7</v>
      </c>
      <c r="C5" s="4">
        <v>13</v>
      </c>
      <c r="D5" s="4">
        <v>4</v>
      </c>
      <c r="E5" s="4">
        <v>2</v>
      </c>
      <c r="F5" s="4"/>
      <c r="G5" s="4"/>
      <c r="H5" s="4"/>
      <c r="I5" s="4">
        <v>13</v>
      </c>
      <c r="J5" s="4">
        <v>4</v>
      </c>
      <c r="K5" s="4">
        <v>2</v>
      </c>
      <c r="L5" s="4"/>
      <c r="M5" s="4"/>
      <c r="N5" s="4"/>
      <c r="O5" s="4">
        <v>-2</v>
      </c>
      <c r="P5" s="4">
        <v>1</v>
      </c>
      <c r="Q5" s="4">
        <v>1</v>
      </c>
      <c r="R5" s="4">
        <v>-2</v>
      </c>
      <c r="S5" s="4">
        <v>1</v>
      </c>
      <c r="T5" s="4">
        <v>1</v>
      </c>
      <c r="U5" s="4"/>
      <c r="V5" s="4"/>
      <c r="W5" s="4"/>
      <c r="X5" s="4"/>
      <c r="Y5" s="4"/>
      <c r="Z5" s="4"/>
      <c r="AA5" s="4">
        <v>11</v>
      </c>
      <c r="AB5" s="4">
        <v>3</v>
      </c>
      <c r="AC5" s="4">
        <v>3</v>
      </c>
    </row>
    <row r="6" spans="1:29" x14ac:dyDescent="0.35">
      <c r="B6" t="s">
        <v>13</v>
      </c>
      <c r="C6" s="4"/>
      <c r="D6" s="4"/>
      <c r="E6" s="4"/>
      <c r="F6" s="4">
        <v>0</v>
      </c>
      <c r="G6" s="4">
        <v>1</v>
      </c>
      <c r="H6" s="4">
        <v>1</v>
      </c>
      <c r="I6" s="4">
        <v>0</v>
      </c>
      <c r="J6" s="4">
        <v>1</v>
      </c>
      <c r="K6" s="4">
        <v>1</v>
      </c>
      <c r="L6" s="4">
        <v>5</v>
      </c>
      <c r="M6" s="4">
        <v>1</v>
      </c>
      <c r="N6" s="4">
        <v>1</v>
      </c>
      <c r="O6" s="4"/>
      <c r="P6" s="4"/>
      <c r="Q6" s="4"/>
      <c r="R6" s="4">
        <v>5</v>
      </c>
      <c r="S6" s="4">
        <v>1</v>
      </c>
      <c r="T6" s="4">
        <v>1</v>
      </c>
      <c r="U6" s="4"/>
      <c r="V6" s="4"/>
      <c r="W6" s="4"/>
      <c r="X6" s="4"/>
      <c r="Y6" s="4"/>
      <c r="Z6" s="4"/>
      <c r="AA6" s="4">
        <v>5</v>
      </c>
      <c r="AB6" s="4">
        <v>1</v>
      </c>
      <c r="AC6" s="4">
        <v>2</v>
      </c>
    </row>
    <row r="7" spans="1:29" x14ac:dyDescent="0.35">
      <c r="A7" t="s">
        <v>21</v>
      </c>
      <c r="C7" s="4">
        <v>13</v>
      </c>
      <c r="D7" s="4">
        <v>4</v>
      </c>
      <c r="E7" s="4">
        <v>2</v>
      </c>
      <c r="F7" s="4">
        <v>0</v>
      </c>
      <c r="G7" s="4">
        <v>1</v>
      </c>
      <c r="H7" s="4">
        <v>1</v>
      </c>
      <c r="I7" s="4">
        <v>13</v>
      </c>
      <c r="J7" s="4">
        <v>3</v>
      </c>
      <c r="K7" s="4">
        <v>3</v>
      </c>
      <c r="L7" s="4">
        <v>5</v>
      </c>
      <c r="M7" s="4">
        <v>1</v>
      </c>
      <c r="N7" s="4">
        <v>1</v>
      </c>
      <c r="O7" s="4">
        <v>-2</v>
      </c>
      <c r="P7" s="4">
        <v>1</v>
      </c>
      <c r="Q7" s="4">
        <v>1</v>
      </c>
      <c r="R7" s="4">
        <v>3</v>
      </c>
      <c r="S7" s="4">
        <v>1</v>
      </c>
      <c r="T7" s="4">
        <v>2</v>
      </c>
      <c r="U7" s="4"/>
      <c r="V7" s="4"/>
      <c r="W7" s="4"/>
      <c r="X7" s="4"/>
      <c r="Y7" s="4"/>
      <c r="Z7" s="4"/>
      <c r="AA7" s="4">
        <v>16</v>
      </c>
      <c r="AB7" s="4">
        <v>2.2000000000000002</v>
      </c>
      <c r="AC7" s="4">
        <v>5</v>
      </c>
    </row>
    <row r="8" spans="1:29" x14ac:dyDescent="0.35">
      <c r="A8" t="s">
        <v>10</v>
      </c>
      <c r="B8" t="s">
        <v>7</v>
      </c>
      <c r="C8" s="4">
        <v>0</v>
      </c>
      <c r="D8" s="4">
        <v>2</v>
      </c>
      <c r="E8" s="4">
        <v>1</v>
      </c>
      <c r="F8" s="4">
        <v>8</v>
      </c>
      <c r="G8" s="4">
        <v>2</v>
      </c>
      <c r="H8" s="4">
        <v>1</v>
      </c>
      <c r="I8" s="4">
        <v>8</v>
      </c>
      <c r="J8" s="4">
        <v>2</v>
      </c>
      <c r="K8" s="4">
        <v>2</v>
      </c>
      <c r="L8" s="4"/>
      <c r="M8" s="4"/>
      <c r="N8" s="4"/>
      <c r="O8" s="4">
        <v>20</v>
      </c>
      <c r="P8" s="4">
        <v>3</v>
      </c>
      <c r="Q8" s="4">
        <v>1</v>
      </c>
      <c r="R8" s="4">
        <v>20</v>
      </c>
      <c r="S8" s="4">
        <v>3</v>
      </c>
      <c r="T8" s="4">
        <v>1</v>
      </c>
      <c r="U8" s="4"/>
      <c r="V8" s="4"/>
      <c r="W8" s="4"/>
      <c r="X8" s="4"/>
      <c r="Y8" s="4"/>
      <c r="Z8" s="4"/>
      <c r="AA8" s="4">
        <v>28</v>
      </c>
      <c r="AB8" s="4">
        <v>2.3333333333333335</v>
      </c>
      <c r="AC8" s="4">
        <v>3</v>
      </c>
    </row>
    <row r="9" spans="1:29" x14ac:dyDescent="0.35">
      <c r="B9" t="s">
        <v>13</v>
      </c>
      <c r="C9" s="4"/>
      <c r="D9" s="4"/>
      <c r="E9" s="4"/>
      <c r="F9" s="4">
        <v>15</v>
      </c>
      <c r="G9" s="4">
        <v>4</v>
      </c>
      <c r="H9" s="4">
        <v>1</v>
      </c>
      <c r="I9" s="4">
        <v>15</v>
      </c>
      <c r="J9" s="4">
        <v>4</v>
      </c>
      <c r="K9" s="4">
        <v>1</v>
      </c>
      <c r="L9" s="4">
        <v>7</v>
      </c>
      <c r="M9" s="4">
        <v>3</v>
      </c>
      <c r="N9" s="4">
        <v>1</v>
      </c>
      <c r="O9" s="4"/>
      <c r="P9" s="4"/>
      <c r="Q9" s="4"/>
      <c r="R9" s="4">
        <v>7</v>
      </c>
      <c r="S9" s="4">
        <v>3</v>
      </c>
      <c r="T9" s="4">
        <v>1</v>
      </c>
      <c r="U9" s="4"/>
      <c r="V9" s="4"/>
      <c r="W9" s="4"/>
      <c r="X9" s="4"/>
      <c r="Y9" s="4"/>
      <c r="Z9" s="4"/>
      <c r="AA9" s="4">
        <v>22</v>
      </c>
      <c r="AB9" s="4">
        <v>3.5</v>
      </c>
      <c r="AC9" s="4">
        <v>2</v>
      </c>
    </row>
    <row r="10" spans="1:29" x14ac:dyDescent="0.35">
      <c r="A10" t="s">
        <v>22</v>
      </c>
      <c r="C10" s="4">
        <v>0</v>
      </c>
      <c r="D10" s="4">
        <v>2</v>
      </c>
      <c r="E10" s="4">
        <v>1</v>
      </c>
      <c r="F10" s="4">
        <v>23</v>
      </c>
      <c r="G10" s="4">
        <v>3</v>
      </c>
      <c r="H10" s="4">
        <v>2</v>
      </c>
      <c r="I10" s="4">
        <v>23</v>
      </c>
      <c r="J10" s="4">
        <v>2.6666666666666665</v>
      </c>
      <c r="K10" s="4">
        <v>3</v>
      </c>
      <c r="L10" s="4">
        <v>7</v>
      </c>
      <c r="M10" s="4">
        <v>3</v>
      </c>
      <c r="N10" s="4">
        <v>1</v>
      </c>
      <c r="O10" s="4">
        <v>20</v>
      </c>
      <c r="P10" s="4">
        <v>3</v>
      </c>
      <c r="Q10" s="4">
        <v>1</v>
      </c>
      <c r="R10" s="4">
        <v>27</v>
      </c>
      <c r="S10" s="4">
        <v>3</v>
      </c>
      <c r="T10" s="4">
        <v>2</v>
      </c>
      <c r="U10" s="4"/>
      <c r="V10" s="4"/>
      <c r="W10" s="4"/>
      <c r="X10" s="4"/>
      <c r="Y10" s="4"/>
      <c r="Z10" s="4"/>
      <c r="AA10" s="4">
        <v>50</v>
      </c>
      <c r="AB10" s="4">
        <v>2.8</v>
      </c>
      <c r="AC10" s="4">
        <v>5</v>
      </c>
    </row>
    <row r="11" spans="1:29" x14ac:dyDescent="0.35">
      <c r="A11" t="s">
        <v>13</v>
      </c>
      <c r="B11" t="s">
        <v>7</v>
      </c>
      <c r="C11" s="4">
        <v>4</v>
      </c>
      <c r="D11" s="4">
        <v>2</v>
      </c>
      <c r="E11" s="4">
        <v>1</v>
      </c>
      <c r="F11" s="4"/>
      <c r="G11" s="4"/>
      <c r="H11" s="4"/>
      <c r="I11" s="4">
        <v>4</v>
      </c>
      <c r="J11" s="4">
        <v>2</v>
      </c>
      <c r="K11" s="4"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>
        <v>4</v>
      </c>
      <c r="AB11" s="4">
        <v>2</v>
      </c>
      <c r="AC11" s="4">
        <v>1</v>
      </c>
    </row>
    <row r="12" spans="1:29" x14ac:dyDescent="0.35">
      <c r="B12" t="s">
        <v>14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v>5</v>
      </c>
      <c r="W12" s="4"/>
      <c r="X12" s="4"/>
      <c r="Y12" s="4">
        <v>5</v>
      </c>
      <c r="Z12" s="4"/>
      <c r="AA12" s="4"/>
      <c r="AB12" s="4">
        <v>5</v>
      </c>
      <c r="AC12" s="4"/>
    </row>
    <row r="13" spans="1:29" x14ac:dyDescent="0.35">
      <c r="A13" t="s">
        <v>23</v>
      </c>
      <c r="C13" s="4">
        <v>4</v>
      </c>
      <c r="D13" s="4">
        <v>2</v>
      </c>
      <c r="E13" s="4">
        <v>1</v>
      </c>
      <c r="F13" s="4"/>
      <c r="G13" s="4"/>
      <c r="H13" s="4"/>
      <c r="I13" s="4">
        <v>4</v>
      </c>
      <c r="J13" s="4">
        <v>2</v>
      </c>
      <c r="K13" s="4">
        <v>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5</v>
      </c>
      <c r="W13" s="4"/>
      <c r="X13" s="4"/>
      <c r="Y13" s="4">
        <v>5</v>
      </c>
      <c r="Z13" s="4"/>
      <c r="AA13" s="4">
        <v>4</v>
      </c>
      <c r="AB13" s="4">
        <v>3.5</v>
      </c>
      <c r="AC13" s="4">
        <v>1</v>
      </c>
    </row>
    <row r="14" spans="1:29" x14ac:dyDescent="0.35">
      <c r="A14" t="s">
        <v>19</v>
      </c>
      <c r="C14" s="4">
        <v>17</v>
      </c>
      <c r="D14" s="4">
        <v>3</v>
      </c>
      <c r="E14" s="4">
        <v>4</v>
      </c>
      <c r="F14" s="4">
        <v>23</v>
      </c>
      <c r="G14" s="4">
        <v>2.3333333333333335</v>
      </c>
      <c r="H14" s="4">
        <v>3</v>
      </c>
      <c r="I14" s="4">
        <v>40</v>
      </c>
      <c r="J14" s="4">
        <v>2.7142857142857144</v>
      </c>
      <c r="K14" s="4">
        <v>7</v>
      </c>
      <c r="L14" s="4">
        <v>12</v>
      </c>
      <c r="M14" s="4">
        <v>2</v>
      </c>
      <c r="N14" s="4">
        <v>2</v>
      </c>
      <c r="O14" s="4">
        <v>18</v>
      </c>
      <c r="P14" s="4">
        <v>2</v>
      </c>
      <c r="Q14" s="4">
        <v>2</v>
      </c>
      <c r="R14" s="4">
        <v>30</v>
      </c>
      <c r="S14" s="4">
        <v>2</v>
      </c>
      <c r="T14" s="4">
        <v>4</v>
      </c>
      <c r="U14" s="4"/>
      <c r="V14" s="4">
        <v>5</v>
      </c>
      <c r="W14" s="4"/>
      <c r="X14" s="4"/>
      <c r="Y14" s="4">
        <v>5</v>
      </c>
      <c r="Z14" s="4"/>
      <c r="AA14" s="4">
        <v>70</v>
      </c>
      <c r="AB14" s="4">
        <v>2.6666666666666665</v>
      </c>
      <c r="AC14" s="4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6CEC-D4D9-4E6A-98D8-EB933D5C8EA0}">
  <dimension ref="A1:T5"/>
  <sheetViews>
    <sheetView workbookViewId="0"/>
  </sheetViews>
  <sheetFormatPr defaultRowHeight="14.5" x14ac:dyDescent="0.35"/>
  <cols>
    <col min="1" max="1" width="8.08984375" bestFit="1" customWidth="1"/>
    <col min="2" max="5" width="10.1796875" bestFit="1" customWidth="1"/>
    <col min="6" max="7" width="6.26953125" bestFit="1" customWidth="1"/>
    <col min="8" max="8" width="9" bestFit="1" customWidth="1"/>
    <col min="9" max="9" width="6.36328125" bestFit="1" customWidth="1"/>
    <col min="10" max="11" width="7.453125" bestFit="1" customWidth="1"/>
    <col min="12" max="12" width="10.1796875" bestFit="1" customWidth="1"/>
    <col min="13" max="14" width="6.26953125" bestFit="1" customWidth="1"/>
    <col min="15" max="15" width="9" bestFit="1" customWidth="1"/>
    <col min="16" max="16" width="6.36328125" bestFit="1" customWidth="1"/>
    <col min="17" max="17" width="7.6328125" bestFit="1" customWidth="1"/>
    <col min="18" max="18" width="10.36328125" bestFit="1" customWidth="1"/>
    <col min="19" max="19" width="6.54296875" bestFit="1" customWidth="1"/>
    <col min="20" max="20" width="10.36328125" bestFit="1" customWidth="1"/>
  </cols>
  <sheetData>
    <row r="1" spans="1:20" x14ac:dyDescent="0.35">
      <c r="B1" s="1" t="s">
        <v>2</v>
      </c>
      <c r="C1" s="1" t="s">
        <v>3</v>
      </c>
      <c r="D1" s="1" t="s">
        <v>0</v>
      </c>
    </row>
    <row r="2" spans="1:20" x14ac:dyDescent="0.35">
      <c r="B2" t="s">
        <v>8</v>
      </c>
      <c r="I2" t="s">
        <v>26</v>
      </c>
      <c r="J2" t="s">
        <v>11</v>
      </c>
      <c r="P2" t="s">
        <v>27</v>
      </c>
      <c r="Q2" t="s">
        <v>15</v>
      </c>
      <c r="S2" t="s">
        <v>28</v>
      </c>
      <c r="T2" t="s">
        <v>19</v>
      </c>
    </row>
    <row r="3" spans="1:20" x14ac:dyDescent="0.35">
      <c r="B3" t="s">
        <v>9</v>
      </c>
      <c r="E3" t="s">
        <v>34</v>
      </c>
      <c r="F3" t="s">
        <v>12</v>
      </c>
      <c r="H3" t="s">
        <v>35</v>
      </c>
      <c r="J3" t="s">
        <v>9</v>
      </c>
      <c r="L3" t="s">
        <v>34</v>
      </c>
      <c r="M3" t="s">
        <v>12</v>
      </c>
      <c r="O3" t="s">
        <v>35</v>
      </c>
      <c r="Q3" t="s">
        <v>16</v>
      </c>
      <c r="R3" t="s">
        <v>36</v>
      </c>
    </row>
    <row r="4" spans="1:20" x14ac:dyDescent="0.35">
      <c r="B4" t="s">
        <v>6</v>
      </c>
      <c r="C4" t="s">
        <v>10</v>
      </c>
      <c r="D4" t="s">
        <v>13</v>
      </c>
      <c r="F4" t="s">
        <v>6</v>
      </c>
      <c r="G4" t="s">
        <v>10</v>
      </c>
      <c r="J4" t="s">
        <v>6</v>
      </c>
      <c r="K4" t="s">
        <v>10</v>
      </c>
      <c r="M4" t="s">
        <v>6</v>
      </c>
      <c r="N4" t="s">
        <v>10</v>
      </c>
      <c r="Q4" t="s">
        <v>13</v>
      </c>
    </row>
    <row r="5" spans="1:20" x14ac:dyDescent="0.35">
      <c r="A5" t="s">
        <v>20</v>
      </c>
      <c r="B5" s="4">
        <v>13</v>
      </c>
      <c r="C5" s="4">
        <v>0</v>
      </c>
      <c r="D5" s="4">
        <v>4</v>
      </c>
      <c r="E5" s="4">
        <v>17</v>
      </c>
      <c r="F5" s="4">
        <v>0</v>
      </c>
      <c r="G5" s="4">
        <v>23</v>
      </c>
      <c r="H5" s="4">
        <v>23</v>
      </c>
      <c r="I5" s="4">
        <v>40</v>
      </c>
      <c r="J5" s="4">
        <v>5</v>
      </c>
      <c r="K5" s="4">
        <v>7</v>
      </c>
      <c r="L5" s="4">
        <v>12</v>
      </c>
      <c r="M5" s="4">
        <v>-2</v>
      </c>
      <c r="N5" s="4">
        <v>20</v>
      </c>
      <c r="O5" s="4">
        <v>18</v>
      </c>
      <c r="P5" s="4">
        <v>30</v>
      </c>
      <c r="Q5" s="4"/>
      <c r="R5" s="4"/>
      <c r="S5" s="4"/>
      <c r="T5" s="4">
        <v>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84C9-0F5C-4624-99E9-CF605C0F0609}">
  <dimension ref="A1:D21"/>
  <sheetViews>
    <sheetView workbookViewId="0"/>
  </sheetViews>
  <sheetFormatPr defaultRowHeight="14.5" x14ac:dyDescent="0.35"/>
  <cols>
    <col min="1" max="1" width="12.453125" bestFit="1" customWidth="1"/>
    <col min="2" max="2" width="8.08984375" bestFit="1" customWidth="1"/>
    <col min="3" max="3" width="9.6328125" bestFit="1" customWidth="1"/>
    <col min="4" max="4" width="8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t="s">
        <v>20</v>
      </c>
    </row>
    <row r="2" spans="1:4" x14ac:dyDescent="0.35">
      <c r="A2" t="s">
        <v>6</v>
      </c>
      <c r="B2" t="s">
        <v>7</v>
      </c>
      <c r="C2" t="s">
        <v>8</v>
      </c>
      <c r="D2" s="4">
        <v>13</v>
      </c>
    </row>
    <row r="3" spans="1:4" x14ac:dyDescent="0.35">
      <c r="C3" t="s">
        <v>11</v>
      </c>
      <c r="D3" s="4">
        <v>-2</v>
      </c>
    </row>
    <row r="4" spans="1:4" x14ac:dyDescent="0.35">
      <c r="B4" t="s">
        <v>31</v>
      </c>
      <c r="D4" s="4">
        <v>11</v>
      </c>
    </row>
    <row r="5" spans="1:4" x14ac:dyDescent="0.35">
      <c r="B5" t="s">
        <v>13</v>
      </c>
      <c r="C5" t="s">
        <v>8</v>
      </c>
      <c r="D5" s="4">
        <v>0</v>
      </c>
    </row>
    <row r="6" spans="1:4" x14ac:dyDescent="0.35">
      <c r="C6" t="s">
        <v>11</v>
      </c>
      <c r="D6" s="4">
        <v>5</v>
      </c>
    </row>
    <row r="7" spans="1:4" x14ac:dyDescent="0.35">
      <c r="B7" t="s">
        <v>23</v>
      </c>
      <c r="D7" s="4">
        <v>5</v>
      </c>
    </row>
    <row r="8" spans="1:4" x14ac:dyDescent="0.35">
      <c r="A8" t="s">
        <v>21</v>
      </c>
      <c r="D8" s="4">
        <v>16</v>
      </c>
    </row>
    <row r="9" spans="1:4" x14ac:dyDescent="0.35">
      <c r="A9" t="s">
        <v>10</v>
      </c>
      <c r="B9" t="s">
        <v>7</v>
      </c>
      <c r="C9" t="s">
        <v>8</v>
      </c>
      <c r="D9" s="4">
        <v>8</v>
      </c>
    </row>
    <row r="10" spans="1:4" x14ac:dyDescent="0.35">
      <c r="C10" t="s">
        <v>11</v>
      </c>
      <c r="D10" s="4">
        <v>20</v>
      </c>
    </row>
    <row r="11" spans="1:4" x14ac:dyDescent="0.35">
      <c r="B11" t="s">
        <v>31</v>
      </c>
      <c r="D11" s="4">
        <v>28</v>
      </c>
    </row>
    <row r="12" spans="1:4" x14ac:dyDescent="0.35">
      <c r="B12" t="s">
        <v>13</v>
      </c>
      <c r="C12" t="s">
        <v>8</v>
      </c>
      <c r="D12" s="4">
        <v>15</v>
      </c>
    </row>
    <row r="13" spans="1:4" x14ac:dyDescent="0.35">
      <c r="C13" t="s">
        <v>11</v>
      </c>
      <c r="D13" s="4">
        <v>7</v>
      </c>
    </row>
    <row r="14" spans="1:4" x14ac:dyDescent="0.35">
      <c r="B14" t="s">
        <v>23</v>
      </c>
      <c r="D14" s="4">
        <v>22</v>
      </c>
    </row>
    <row r="15" spans="1:4" x14ac:dyDescent="0.35">
      <c r="A15" t="s">
        <v>22</v>
      </c>
      <c r="D15" s="4">
        <v>50</v>
      </c>
    </row>
    <row r="16" spans="1:4" x14ac:dyDescent="0.35">
      <c r="A16" t="s">
        <v>13</v>
      </c>
      <c r="B16" t="s">
        <v>7</v>
      </c>
      <c r="C16" t="s">
        <v>8</v>
      </c>
      <c r="D16" s="4">
        <v>4</v>
      </c>
    </row>
    <row r="17" spans="1:4" x14ac:dyDescent="0.35">
      <c r="B17" t="s">
        <v>31</v>
      </c>
      <c r="D17" s="4">
        <v>4</v>
      </c>
    </row>
    <row r="18" spans="1:4" x14ac:dyDescent="0.35">
      <c r="B18" t="s">
        <v>14</v>
      </c>
      <c r="C18" t="s">
        <v>15</v>
      </c>
      <c r="D18" s="4"/>
    </row>
    <row r="19" spans="1:4" x14ac:dyDescent="0.35">
      <c r="B19" t="s">
        <v>32</v>
      </c>
      <c r="D19" s="4"/>
    </row>
    <row r="20" spans="1:4" x14ac:dyDescent="0.35">
      <c r="A20" t="s">
        <v>23</v>
      </c>
      <c r="D20" s="4">
        <v>4</v>
      </c>
    </row>
    <row r="21" spans="1:4" x14ac:dyDescent="0.35">
      <c r="A21" t="s">
        <v>19</v>
      </c>
      <c r="D21" s="4">
        <v>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E066-E09D-441D-A72C-63CD0F47CBA6}">
  <dimension ref="A1:K13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4" width="10.1796875" bestFit="1" customWidth="1"/>
    <col min="5" max="5" width="6.36328125" bestFit="1" customWidth="1"/>
    <col min="6" max="7" width="5.7265625" bestFit="1" customWidth="1"/>
    <col min="8" max="8" width="6.36328125" bestFit="1" customWidth="1"/>
    <col min="9" max="9" width="5.90625" bestFit="1" customWidth="1"/>
    <col min="10" max="10" width="6.54296875" bestFit="1" customWidth="1"/>
    <col min="11" max="11" width="10.36328125" bestFit="1" customWidth="1"/>
  </cols>
  <sheetData>
    <row r="1" spans="1:11" x14ac:dyDescent="0.35">
      <c r="A1" s="1" t="s">
        <v>20</v>
      </c>
      <c r="C1" s="1" t="s">
        <v>2</v>
      </c>
      <c r="D1" s="1" t="s">
        <v>3</v>
      </c>
    </row>
    <row r="2" spans="1:11" x14ac:dyDescent="0.35">
      <c r="C2" t="s">
        <v>8</v>
      </c>
      <c r="E2" t="s">
        <v>26</v>
      </c>
      <c r="F2" t="s">
        <v>11</v>
      </c>
      <c r="H2" t="s">
        <v>27</v>
      </c>
      <c r="I2" t="s">
        <v>15</v>
      </c>
      <c r="J2" t="s">
        <v>28</v>
      </c>
      <c r="K2" t="s">
        <v>19</v>
      </c>
    </row>
    <row r="3" spans="1:11" x14ac:dyDescent="0.35">
      <c r="A3" s="1" t="s">
        <v>0</v>
      </c>
      <c r="B3" s="1" t="s">
        <v>1</v>
      </c>
      <c r="C3" t="s">
        <v>9</v>
      </c>
      <c r="D3" t="s">
        <v>12</v>
      </c>
      <c r="F3" t="s">
        <v>9</v>
      </c>
      <c r="G3" t="s">
        <v>12</v>
      </c>
      <c r="I3" t="s">
        <v>16</v>
      </c>
    </row>
    <row r="4" spans="1:11" x14ac:dyDescent="0.35">
      <c r="A4" t="s">
        <v>6</v>
      </c>
      <c r="B4" t="s">
        <v>7</v>
      </c>
      <c r="C4" s="4">
        <v>13</v>
      </c>
      <c r="D4" s="4"/>
      <c r="E4" s="4">
        <v>13</v>
      </c>
      <c r="F4" s="4"/>
      <c r="G4" s="4">
        <v>-2</v>
      </c>
      <c r="H4" s="4">
        <v>-2</v>
      </c>
      <c r="I4" s="4"/>
      <c r="J4" s="4"/>
      <c r="K4" s="4">
        <v>11</v>
      </c>
    </row>
    <row r="5" spans="1:11" x14ac:dyDescent="0.35">
      <c r="B5" t="s">
        <v>13</v>
      </c>
      <c r="C5" s="4"/>
      <c r="D5" s="4">
        <v>0</v>
      </c>
      <c r="E5" s="4">
        <v>0</v>
      </c>
      <c r="F5" s="4">
        <v>5</v>
      </c>
      <c r="G5" s="4"/>
      <c r="H5" s="4">
        <v>5</v>
      </c>
      <c r="I5" s="4"/>
      <c r="J5" s="4"/>
      <c r="K5" s="4">
        <v>5</v>
      </c>
    </row>
    <row r="6" spans="1:11" x14ac:dyDescent="0.35">
      <c r="A6" t="s">
        <v>21</v>
      </c>
      <c r="C6" s="4">
        <v>13</v>
      </c>
      <c r="D6" s="4">
        <v>0</v>
      </c>
      <c r="E6" s="4">
        <v>13</v>
      </c>
      <c r="F6" s="4">
        <v>5</v>
      </c>
      <c r="G6" s="4">
        <v>-2</v>
      </c>
      <c r="H6" s="4">
        <v>3</v>
      </c>
      <c r="I6" s="4"/>
      <c r="J6" s="4"/>
      <c r="K6" s="4">
        <v>16</v>
      </c>
    </row>
    <row r="7" spans="1:11" x14ac:dyDescent="0.35">
      <c r="A7" t="s">
        <v>10</v>
      </c>
      <c r="B7" t="s">
        <v>7</v>
      </c>
      <c r="C7" s="4">
        <v>0</v>
      </c>
      <c r="D7" s="4">
        <v>8</v>
      </c>
      <c r="E7" s="4">
        <v>8</v>
      </c>
      <c r="F7" s="4"/>
      <c r="G7" s="4">
        <v>20</v>
      </c>
      <c r="H7" s="4">
        <v>20</v>
      </c>
      <c r="I7" s="4"/>
      <c r="J7" s="4"/>
      <c r="K7" s="4">
        <v>28</v>
      </c>
    </row>
    <row r="8" spans="1:11" x14ac:dyDescent="0.35">
      <c r="B8" t="s">
        <v>13</v>
      </c>
      <c r="C8" s="4"/>
      <c r="D8" s="4">
        <v>15</v>
      </c>
      <c r="E8" s="4">
        <v>15</v>
      </c>
      <c r="F8" s="4">
        <v>7</v>
      </c>
      <c r="G8" s="4"/>
      <c r="H8" s="4">
        <v>7</v>
      </c>
      <c r="I8" s="4"/>
      <c r="J8" s="4"/>
      <c r="K8" s="4">
        <v>22</v>
      </c>
    </row>
    <row r="9" spans="1:11" x14ac:dyDescent="0.35">
      <c r="A9" t="s">
        <v>22</v>
      </c>
      <c r="C9" s="4">
        <v>0</v>
      </c>
      <c r="D9" s="4">
        <v>23</v>
      </c>
      <c r="E9" s="4">
        <v>23</v>
      </c>
      <c r="F9" s="4">
        <v>7</v>
      </c>
      <c r="G9" s="4">
        <v>20</v>
      </c>
      <c r="H9" s="4">
        <v>27</v>
      </c>
      <c r="I9" s="4"/>
      <c r="J9" s="4"/>
      <c r="K9" s="4">
        <v>50</v>
      </c>
    </row>
    <row r="10" spans="1:11" x14ac:dyDescent="0.35">
      <c r="A10" t="s">
        <v>13</v>
      </c>
      <c r="B10" t="s">
        <v>7</v>
      </c>
      <c r="C10" s="4">
        <v>4</v>
      </c>
      <c r="D10" s="4"/>
      <c r="E10" s="4">
        <v>4</v>
      </c>
      <c r="F10" s="4"/>
      <c r="G10" s="4"/>
      <c r="H10" s="4"/>
      <c r="I10" s="4"/>
      <c r="J10" s="4"/>
      <c r="K10" s="4">
        <v>4</v>
      </c>
    </row>
    <row r="11" spans="1:11" x14ac:dyDescent="0.35">
      <c r="B11" t="s">
        <v>14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35">
      <c r="A12" t="s">
        <v>23</v>
      </c>
      <c r="C12" s="4">
        <v>4</v>
      </c>
      <c r="D12" s="4"/>
      <c r="E12" s="4">
        <v>4</v>
      </c>
      <c r="F12" s="4"/>
      <c r="G12" s="4"/>
      <c r="H12" s="4"/>
      <c r="I12" s="4"/>
      <c r="J12" s="4"/>
      <c r="K12" s="4">
        <v>4</v>
      </c>
    </row>
    <row r="13" spans="1:11" x14ac:dyDescent="0.35">
      <c r="A13" t="s">
        <v>19</v>
      </c>
      <c r="C13" s="4">
        <v>17</v>
      </c>
      <c r="D13" s="4">
        <v>23</v>
      </c>
      <c r="E13" s="4">
        <v>40</v>
      </c>
      <c r="F13" s="4">
        <v>12</v>
      </c>
      <c r="G13" s="4">
        <v>18</v>
      </c>
      <c r="H13" s="4">
        <v>30</v>
      </c>
      <c r="I13" s="4"/>
      <c r="J13" s="4"/>
      <c r="K13" s="4">
        <v>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DE5D-2DA1-4900-8B5F-3EE9B8CD4CA1}">
  <dimension ref="A1:J4"/>
  <sheetViews>
    <sheetView workbookViewId="0"/>
  </sheetViews>
  <sheetFormatPr defaultRowHeight="14.5" x14ac:dyDescent="0.35"/>
  <cols>
    <col min="1" max="1" width="8.08984375" bestFit="1" customWidth="1"/>
    <col min="2" max="3" width="10.1796875" bestFit="1" customWidth="1"/>
    <col min="4" max="4" width="6.36328125" bestFit="1" customWidth="1"/>
    <col min="5" max="6" width="5.7265625" bestFit="1" customWidth="1"/>
    <col min="7" max="7" width="6.36328125" bestFit="1" customWidth="1"/>
    <col min="8" max="8" width="5.90625" bestFit="1" customWidth="1"/>
    <col min="9" max="9" width="6.54296875" bestFit="1" customWidth="1"/>
    <col min="10" max="10" width="10.36328125" bestFit="1" customWidth="1"/>
  </cols>
  <sheetData>
    <row r="1" spans="1:10" x14ac:dyDescent="0.35">
      <c r="B1" s="1" t="s">
        <v>2</v>
      </c>
      <c r="C1" s="1" t="s">
        <v>3</v>
      </c>
    </row>
    <row r="2" spans="1:10" x14ac:dyDescent="0.35">
      <c r="B2" t="s">
        <v>8</v>
      </c>
      <c r="D2" t="s">
        <v>26</v>
      </c>
      <c r="E2" t="s">
        <v>11</v>
      </c>
      <c r="G2" t="s">
        <v>27</v>
      </c>
      <c r="H2" t="s">
        <v>15</v>
      </c>
      <c r="I2" t="s">
        <v>28</v>
      </c>
      <c r="J2" t="s">
        <v>19</v>
      </c>
    </row>
    <row r="3" spans="1:10" x14ac:dyDescent="0.35">
      <c r="B3" t="s">
        <v>9</v>
      </c>
      <c r="C3" t="s">
        <v>12</v>
      </c>
      <c r="E3" t="s">
        <v>9</v>
      </c>
      <c r="F3" t="s">
        <v>12</v>
      </c>
      <c r="H3" t="s">
        <v>16</v>
      </c>
    </row>
    <row r="4" spans="1:10" x14ac:dyDescent="0.35">
      <c r="A4" t="s">
        <v>20</v>
      </c>
      <c r="B4" s="4">
        <v>17</v>
      </c>
      <c r="C4" s="4">
        <v>23</v>
      </c>
      <c r="D4" s="4">
        <v>40</v>
      </c>
      <c r="E4" s="4">
        <v>12</v>
      </c>
      <c r="F4" s="4">
        <v>18</v>
      </c>
      <c r="G4" s="4">
        <v>30</v>
      </c>
      <c r="H4" s="4"/>
      <c r="I4" s="4"/>
      <c r="J4" s="4">
        <v>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BFEA-08C9-4835-A4B1-C555F69DB733}">
  <dimension ref="A1:C11"/>
  <sheetViews>
    <sheetView workbookViewId="0"/>
  </sheetViews>
  <sheetFormatPr defaultRowHeight="14.5" x14ac:dyDescent="0.35"/>
  <cols>
    <col min="1" max="1" width="12.453125" bestFit="1" customWidth="1"/>
    <col min="2" max="2" width="6.54296875" bestFit="1" customWidth="1"/>
    <col min="3" max="3" width="8.08984375" bestFit="1" customWidth="1"/>
  </cols>
  <sheetData>
    <row r="1" spans="1:3" x14ac:dyDescent="0.35">
      <c r="A1" s="1" t="s">
        <v>0</v>
      </c>
      <c r="B1" s="1" t="s">
        <v>1</v>
      </c>
      <c r="C1" t="s">
        <v>20</v>
      </c>
    </row>
    <row r="2" spans="1:3" x14ac:dyDescent="0.35">
      <c r="A2" t="s">
        <v>6</v>
      </c>
      <c r="B2" t="s">
        <v>7</v>
      </c>
      <c r="C2" s="4">
        <v>11</v>
      </c>
    </row>
    <row r="3" spans="1:3" x14ac:dyDescent="0.35">
      <c r="B3" t="s">
        <v>13</v>
      </c>
      <c r="C3" s="4">
        <v>5</v>
      </c>
    </row>
    <row r="4" spans="1:3" x14ac:dyDescent="0.35">
      <c r="A4" t="s">
        <v>21</v>
      </c>
      <c r="C4" s="4">
        <v>16</v>
      </c>
    </row>
    <row r="5" spans="1:3" x14ac:dyDescent="0.35">
      <c r="A5" t="s">
        <v>10</v>
      </c>
      <c r="B5" t="s">
        <v>7</v>
      </c>
      <c r="C5" s="4">
        <v>28</v>
      </c>
    </row>
    <row r="6" spans="1:3" x14ac:dyDescent="0.35">
      <c r="B6" t="s">
        <v>13</v>
      </c>
      <c r="C6" s="4">
        <v>22</v>
      </c>
    </row>
    <row r="7" spans="1:3" x14ac:dyDescent="0.35">
      <c r="A7" t="s">
        <v>22</v>
      </c>
      <c r="C7" s="4">
        <v>50</v>
      </c>
    </row>
    <row r="8" spans="1:3" x14ac:dyDescent="0.35">
      <c r="A8" t="s">
        <v>13</v>
      </c>
      <c r="B8" t="s">
        <v>7</v>
      </c>
      <c r="C8" s="4">
        <v>4</v>
      </c>
    </row>
    <row r="9" spans="1:3" x14ac:dyDescent="0.35">
      <c r="B9" t="s">
        <v>14</v>
      </c>
      <c r="C9" s="4"/>
    </row>
    <row r="10" spans="1:3" x14ac:dyDescent="0.35">
      <c r="A10" t="s">
        <v>23</v>
      </c>
      <c r="C10" s="4">
        <v>4</v>
      </c>
    </row>
    <row r="11" spans="1:3" x14ac:dyDescent="0.35">
      <c r="A11" t="s">
        <v>19</v>
      </c>
      <c r="C11" s="4">
        <v>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413A-962A-4A1F-87F3-A89AB99AA54A}">
  <dimension ref="A1:B924"/>
  <sheetViews>
    <sheetView workbookViewId="0"/>
  </sheetViews>
  <sheetFormatPr defaultRowHeight="14.5" x14ac:dyDescent="0.35"/>
  <sheetData>
    <row r="1" spans="1:2" x14ac:dyDescent="0.35">
      <c r="A1" t="s">
        <v>24</v>
      </c>
      <c r="B1">
        <f>GETPIVOTDATA("Revenue",'Row2'!A1)</f>
        <v>70</v>
      </c>
    </row>
    <row r="2" spans="1:2" x14ac:dyDescent="0.35">
      <c r="A2" t="s">
        <v>24</v>
      </c>
      <c r="B2">
        <f>GETPIVOTDATA("Revenue",'Row2'!A1,"Region","North")</f>
        <v>16</v>
      </c>
    </row>
    <row r="3" spans="1:2" x14ac:dyDescent="0.35">
      <c r="A3" t="s">
        <v>24</v>
      </c>
      <c r="B3" t="e">
        <f>GETPIVOTDATA("Revenue",'Row2'!A1,"City","East")</f>
        <v>#REF!</v>
      </c>
    </row>
    <row r="4" spans="1:2" x14ac:dyDescent="0.35">
      <c r="A4" t="s">
        <v>24</v>
      </c>
      <c r="B4">
        <f>GETPIVOTDATA("Revenue",'Row2'!A1,"Region","North","City","East")</f>
        <v>11</v>
      </c>
    </row>
    <row r="5" spans="1:2" x14ac:dyDescent="0.35">
      <c r="A5" t="s">
        <v>24</v>
      </c>
      <c r="B5" t="e">
        <f>GETPIVOTDATA("Revenue",'Row2'!A1,"Product","A")</f>
        <v>#REF!</v>
      </c>
    </row>
    <row r="6" spans="1:2" x14ac:dyDescent="0.35">
      <c r="A6" t="s">
        <v>24</v>
      </c>
      <c r="B6" t="e">
        <f>GETPIVOTDATA("Revenue",'Row2'!A1,"Region","North","Product","A")</f>
        <v>#REF!</v>
      </c>
    </row>
    <row r="7" spans="1:2" x14ac:dyDescent="0.35">
      <c r="A7" t="s">
        <v>24</v>
      </c>
      <c r="B7" t="e">
        <f>GETPIVOTDATA("Revenue",'Row2'!A1,"City","East","Product","A")</f>
        <v>#REF!</v>
      </c>
    </row>
    <row r="8" spans="1:2" x14ac:dyDescent="0.35">
      <c r="A8" t="s">
        <v>24</v>
      </c>
      <c r="B8" t="e">
        <f>GETPIVOTDATA("Revenue",'Row2'!A1,"Region","North","City","East","Product","A")</f>
        <v>#REF!</v>
      </c>
    </row>
    <row r="9" spans="1:2" x14ac:dyDescent="0.35">
      <c r="A9" t="s">
        <v>24</v>
      </c>
      <c r="B9" t="e">
        <f>GETPIVOTDATA("Revenue",'Row2'!A1,"Channel","Retail")</f>
        <v>#REF!</v>
      </c>
    </row>
    <row r="10" spans="1:2" x14ac:dyDescent="0.35">
      <c r="A10" t="s">
        <v>24</v>
      </c>
      <c r="B10" t="e">
        <f>GETPIVOTDATA("Revenue",'Row2'!A1,"Region","North","Channel","Retail")</f>
        <v>#REF!</v>
      </c>
    </row>
    <row r="11" spans="1:2" x14ac:dyDescent="0.35">
      <c r="A11" t="s">
        <v>24</v>
      </c>
      <c r="B11" t="e">
        <f>GETPIVOTDATA("Revenue",'Row2'!A1,"City","East","Channel","Retail")</f>
        <v>#REF!</v>
      </c>
    </row>
    <row r="12" spans="1:2" x14ac:dyDescent="0.35">
      <c r="A12" t="s">
        <v>24</v>
      </c>
      <c r="B12" t="e">
        <f>GETPIVOTDATA("Revenue",'Row2'!A1,"Region","North","City","East","Channel","Retail")</f>
        <v>#REF!</v>
      </c>
    </row>
    <row r="13" spans="1:2" x14ac:dyDescent="0.35">
      <c r="A13" t="s">
        <v>24</v>
      </c>
      <c r="B13" t="e">
        <f>GETPIVOTDATA("Revenue",'Row2'!A1,"Product","A","Channel","Retail")</f>
        <v>#REF!</v>
      </c>
    </row>
    <row r="14" spans="1:2" x14ac:dyDescent="0.35">
      <c r="A14" t="s">
        <v>24</v>
      </c>
      <c r="B14" t="e">
        <f>GETPIVOTDATA("Revenue",'Row2'!A1,"Region","North","Product","A","Channel","Retail")</f>
        <v>#REF!</v>
      </c>
    </row>
    <row r="15" spans="1:2" x14ac:dyDescent="0.35">
      <c r="A15" t="s">
        <v>24</v>
      </c>
      <c r="B15" t="e">
        <f>GETPIVOTDATA("Revenue",'Row2'!A1,"City","East","Product","A","Channel","Retail")</f>
        <v>#REF!</v>
      </c>
    </row>
    <row r="16" spans="1:2" x14ac:dyDescent="0.35">
      <c r="A16" t="s">
        <v>24</v>
      </c>
      <c r="B16" t="e">
        <f>GETPIVOTDATA("Revenue",'Row2'!A1,"Region","North","City","East","Product","A","Channel","Retail")</f>
        <v>#REF!</v>
      </c>
    </row>
    <row r="17" spans="1:2" x14ac:dyDescent="0.35">
      <c r="A17" t="s">
        <v>24</v>
      </c>
      <c r="B17">
        <f>GETPIVOTDATA("Revenue",'Row2'!A1,"City","Unique")</f>
        <v>0</v>
      </c>
    </row>
    <row r="18" spans="1:2" x14ac:dyDescent="0.35">
      <c r="A18" t="s">
        <v>24</v>
      </c>
      <c r="B18" t="e">
        <f>GETPIVOTDATA("Revenue",'Row2'!A1,"Product","C")</f>
        <v>#REF!</v>
      </c>
    </row>
    <row r="19" spans="1:2" x14ac:dyDescent="0.35">
      <c r="A19" t="s">
        <v>24</v>
      </c>
      <c r="B19" t="e">
        <f>GETPIVOTDATA("Revenue",'Row2'!A1,"Channel","Direct")</f>
        <v>#REF!</v>
      </c>
    </row>
    <row r="20" spans="1:2" x14ac:dyDescent="0.35">
      <c r="A20" t="s">
        <v>24</v>
      </c>
      <c r="B20" t="e">
        <f>GETPIVOTDATA("Revenue",'Row2'!A1,"Region","North","City","missing")</f>
        <v>#REF!</v>
      </c>
    </row>
    <row r="21" spans="1:2" x14ac:dyDescent="0.35">
      <c r="A21" t="s">
        <v>24</v>
      </c>
      <c r="B21" t="e">
        <f>GETPIVOTDATA("Revenue",'Row2'!A1,"Region","West","City","Unique","Product","C","Channel","Direct")</f>
        <v>#REF!</v>
      </c>
    </row>
    <row r="22" spans="1:2" x14ac:dyDescent="0.35">
      <c r="A22" t="s">
        <v>29</v>
      </c>
      <c r="B22">
        <f>GETPIVOTDATA("Revenue",'Col2'!A1)</f>
        <v>70</v>
      </c>
    </row>
    <row r="23" spans="1:2" x14ac:dyDescent="0.35">
      <c r="A23" t="s">
        <v>29</v>
      </c>
      <c r="B23" t="e">
        <f>GETPIVOTDATA("Revenue",'Col2'!A1,"Region","North")</f>
        <v>#REF!</v>
      </c>
    </row>
    <row r="24" spans="1:2" x14ac:dyDescent="0.35">
      <c r="A24" t="s">
        <v>29</v>
      </c>
      <c r="B24" t="e">
        <f>GETPIVOTDATA("Revenue",'Col2'!A1,"City","East")</f>
        <v>#REF!</v>
      </c>
    </row>
    <row r="25" spans="1:2" x14ac:dyDescent="0.35">
      <c r="A25" t="s">
        <v>29</v>
      </c>
      <c r="B25" t="e">
        <f>GETPIVOTDATA("Revenue",'Col2'!A1,"Region","North","City","East")</f>
        <v>#REF!</v>
      </c>
    </row>
    <row r="26" spans="1:2" x14ac:dyDescent="0.35">
      <c r="A26" t="s">
        <v>29</v>
      </c>
      <c r="B26">
        <f>GETPIVOTDATA("Revenue",'Col2'!A1,"Product","A")</f>
        <v>40</v>
      </c>
    </row>
    <row r="27" spans="1:2" x14ac:dyDescent="0.35">
      <c r="A27" t="s">
        <v>29</v>
      </c>
      <c r="B27" t="e">
        <f>GETPIVOTDATA("Revenue",'Col2'!A1,"Region","North","Product","A")</f>
        <v>#REF!</v>
      </c>
    </row>
    <row r="28" spans="1:2" x14ac:dyDescent="0.35">
      <c r="A28" t="s">
        <v>29</v>
      </c>
      <c r="B28" t="e">
        <f>GETPIVOTDATA("Revenue",'Col2'!A1,"City","East","Product","A")</f>
        <v>#REF!</v>
      </c>
    </row>
    <row r="29" spans="1:2" x14ac:dyDescent="0.35">
      <c r="A29" t="s">
        <v>29</v>
      </c>
      <c r="B29" t="e">
        <f>GETPIVOTDATA("Revenue",'Col2'!A1,"Region","North","City","East","Product","A")</f>
        <v>#REF!</v>
      </c>
    </row>
    <row r="30" spans="1:2" x14ac:dyDescent="0.35">
      <c r="A30" t="s">
        <v>29</v>
      </c>
      <c r="B30" t="e">
        <f>GETPIVOTDATA("Revenue",'Col2'!A1,"Channel","Retail")</f>
        <v>#REF!</v>
      </c>
    </row>
    <row r="31" spans="1:2" x14ac:dyDescent="0.35">
      <c r="A31" t="s">
        <v>29</v>
      </c>
      <c r="B31" t="e">
        <f>GETPIVOTDATA("Revenue",'Col2'!A1,"Region","North","Channel","Retail")</f>
        <v>#REF!</v>
      </c>
    </row>
    <row r="32" spans="1:2" x14ac:dyDescent="0.35">
      <c r="A32" t="s">
        <v>29</v>
      </c>
      <c r="B32" t="e">
        <f>GETPIVOTDATA("Revenue",'Col2'!A1,"City","East","Channel","Retail")</f>
        <v>#REF!</v>
      </c>
    </row>
    <row r="33" spans="1:2" x14ac:dyDescent="0.35">
      <c r="A33" t="s">
        <v>29</v>
      </c>
      <c r="B33" t="e">
        <f>GETPIVOTDATA("Revenue",'Col2'!A1,"Region","North","City","East","Channel","Retail")</f>
        <v>#REF!</v>
      </c>
    </row>
    <row r="34" spans="1:2" x14ac:dyDescent="0.35">
      <c r="A34" t="s">
        <v>29</v>
      </c>
      <c r="B34">
        <f>GETPIVOTDATA("Revenue",'Col2'!A1,"Product","A","Channel","Retail")</f>
        <v>17</v>
      </c>
    </row>
    <row r="35" spans="1:2" x14ac:dyDescent="0.35">
      <c r="A35" t="s">
        <v>29</v>
      </c>
      <c r="B35" t="e">
        <f>GETPIVOTDATA("Revenue",'Col2'!A1,"Region","North","Product","A","Channel","Retail")</f>
        <v>#REF!</v>
      </c>
    </row>
    <row r="36" spans="1:2" x14ac:dyDescent="0.35">
      <c r="A36" t="s">
        <v>29</v>
      </c>
      <c r="B36" t="e">
        <f>GETPIVOTDATA("Revenue",'Col2'!A1,"City","East","Product","A","Channel","Retail")</f>
        <v>#REF!</v>
      </c>
    </row>
    <row r="37" spans="1:2" x14ac:dyDescent="0.35">
      <c r="A37" t="s">
        <v>29</v>
      </c>
      <c r="B37" t="e">
        <f>GETPIVOTDATA("Revenue",'Col2'!A1,"Region","North","City","East","Product","A","Channel","Retail")</f>
        <v>#REF!</v>
      </c>
    </row>
    <row r="38" spans="1:2" x14ac:dyDescent="0.35">
      <c r="A38" t="s">
        <v>29</v>
      </c>
      <c r="B38" t="e">
        <f>GETPIVOTDATA("Revenue",'Col2'!A1,"City","Unique")</f>
        <v>#REF!</v>
      </c>
    </row>
    <row r="39" spans="1:2" x14ac:dyDescent="0.35">
      <c r="A39" t="s">
        <v>29</v>
      </c>
      <c r="B39">
        <f>GETPIVOTDATA("Revenue",'Col2'!A1,"Product","C")</f>
        <v>0</v>
      </c>
    </row>
    <row r="40" spans="1:2" x14ac:dyDescent="0.35">
      <c r="A40" t="s">
        <v>29</v>
      </c>
      <c r="B40">
        <f>GETPIVOTDATA("Revenue",'Col2'!A1,"Channel","Direct")</f>
        <v>0</v>
      </c>
    </row>
    <row r="41" spans="1:2" x14ac:dyDescent="0.35">
      <c r="A41" t="s">
        <v>29</v>
      </c>
      <c r="B41" t="e">
        <f>GETPIVOTDATA("Revenue",'Col2'!A1,"Region","North","City","missing")</f>
        <v>#REF!</v>
      </c>
    </row>
    <row r="42" spans="1:2" x14ac:dyDescent="0.35">
      <c r="A42" t="s">
        <v>29</v>
      </c>
      <c r="B42" t="e">
        <f>GETPIVOTDATA("Revenue",'Col2'!A1,"Region","West","City","Unique","Product","C","Channel","Direct")</f>
        <v>#REF!</v>
      </c>
    </row>
    <row r="43" spans="1:2" x14ac:dyDescent="0.35">
      <c r="A43" t="s">
        <v>30</v>
      </c>
      <c r="B43">
        <f>GETPIVOTDATA("Revenue",Both2!A1)</f>
        <v>70</v>
      </c>
    </row>
    <row r="44" spans="1:2" x14ac:dyDescent="0.35">
      <c r="A44" t="s">
        <v>30</v>
      </c>
      <c r="B44">
        <f>GETPIVOTDATA("Revenue",Both2!A1,"Region","North")</f>
        <v>16</v>
      </c>
    </row>
    <row r="45" spans="1:2" x14ac:dyDescent="0.35">
      <c r="A45" t="s">
        <v>30</v>
      </c>
      <c r="B45" t="e">
        <f>GETPIVOTDATA("Revenue",Both2!A1,"City","East")</f>
        <v>#REF!</v>
      </c>
    </row>
    <row r="46" spans="1:2" x14ac:dyDescent="0.35">
      <c r="A46" t="s">
        <v>30</v>
      </c>
      <c r="B46">
        <f>GETPIVOTDATA("Revenue",Both2!A1,"Region","North","City","East")</f>
        <v>11</v>
      </c>
    </row>
    <row r="47" spans="1:2" x14ac:dyDescent="0.35">
      <c r="A47" t="s">
        <v>30</v>
      </c>
      <c r="B47">
        <f>GETPIVOTDATA("Revenue",Both2!A1,"Product","A")</f>
        <v>40</v>
      </c>
    </row>
    <row r="48" spans="1:2" x14ac:dyDescent="0.35">
      <c r="A48" t="s">
        <v>30</v>
      </c>
      <c r="B48">
        <f>GETPIVOTDATA("Revenue",Both2!A1,"Region","North","Product","A")</f>
        <v>13</v>
      </c>
    </row>
    <row r="49" spans="1:2" x14ac:dyDescent="0.35">
      <c r="A49" t="s">
        <v>30</v>
      </c>
      <c r="B49" t="e">
        <f>GETPIVOTDATA("Revenue",Both2!A1,"City","East","Product","A")</f>
        <v>#REF!</v>
      </c>
    </row>
    <row r="50" spans="1:2" x14ac:dyDescent="0.35">
      <c r="A50" t="s">
        <v>30</v>
      </c>
      <c r="B50">
        <f>GETPIVOTDATA("Revenue",Both2!A1,"Region","North","City","East","Product","A")</f>
        <v>13</v>
      </c>
    </row>
    <row r="51" spans="1:2" x14ac:dyDescent="0.35">
      <c r="A51" t="s">
        <v>30</v>
      </c>
      <c r="B51" t="e">
        <f>GETPIVOTDATA("Revenue",Both2!A1,"Channel","Retail")</f>
        <v>#REF!</v>
      </c>
    </row>
    <row r="52" spans="1:2" x14ac:dyDescent="0.35">
      <c r="A52" t="s">
        <v>30</v>
      </c>
      <c r="B52" t="e">
        <f>GETPIVOTDATA("Revenue",Both2!A1,"Region","North","Channel","Retail")</f>
        <v>#REF!</v>
      </c>
    </row>
    <row r="53" spans="1:2" x14ac:dyDescent="0.35">
      <c r="A53" t="s">
        <v>30</v>
      </c>
      <c r="B53" t="e">
        <f>GETPIVOTDATA("Revenue",Both2!A1,"City","East","Channel","Retail")</f>
        <v>#REF!</v>
      </c>
    </row>
    <row r="54" spans="1:2" x14ac:dyDescent="0.35">
      <c r="A54" t="s">
        <v>30</v>
      </c>
      <c r="B54" t="e">
        <f>GETPIVOTDATA("Revenue",Both2!A1,"Region","North","City","East","Channel","Retail")</f>
        <v>#REF!</v>
      </c>
    </row>
    <row r="55" spans="1:2" x14ac:dyDescent="0.35">
      <c r="A55" t="s">
        <v>30</v>
      </c>
      <c r="B55">
        <f>GETPIVOTDATA("Revenue",Both2!A1,"Product","A","Channel","Retail")</f>
        <v>17</v>
      </c>
    </row>
    <row r="56" spans="1:2" x14ac:dyDescent="0.35">
      <c r="A56" t="s">
        <v>30</v>
      </c>
      <c r="B56">
        <f>GETPIVOTDATA("Revenue",Both2!A1,"Region","North","Product","A","Channel","Retail")</f>
        <v>13</v>
      </c>
    </row>
    <row r="57" spans="1:2" x14ac:dyDescent="0.35">
      <c r="A57" t="s">
        <v>30</v>
      </c>
      <c r="B57" t="e">
        <f>GETPIVOTDATA("Revenue",Both2!A1,"City","East","Product","A","Channel","Retail")</f>
        <v>#REF!</v>
      </c>
    </row>
    <row r="58" spans="1:2" x14ac:dyDescent="0.35">
      <c r="A58" t="s">
        <v>30</v>
      </c>
      <c r="B58">
        <f>GETPIVOTDATA("Revenue",Both2!A1,"Region","North","City","East","Product","A","Channel","Retail")</f>
        <v>13</v>
      </c>
    </row>
    <row r="59" spans="1:2" x14ac:dyDescent="0.35">
      <c r="A59" t="s">
        <v>30</v>
      </c>
      <c r="B59">
        <f>GETPIVOTDATA("Revenue",Both2!A1,"City","Unique")</f>
        <v>0</v>
      </c>
    </row>
    <row r="60" spans="1:2" x14ac:dyDescent="0.35">
      <c r="A60" t="s">
        <v>30</v>
      </c>
      <c r="B60">
        <f>GETPIVOTDATA("Revenue",Both2!A1,"Product","C")</f>
        <v>0</v>
      </c>
    </row>
    <row r="61" spans="1:2" x14ac:dyDescent="0.35">
      <c r="A61" t="s">
        <v>30</v>
      </c>
      <c r="B61">
        <f>GETPIVOTDATA("Revenue",Both2!A1,"Channel","Direct")</f>
        <v>0</v>
      </c>
    </row>
    <row r="62" spans="1:2" x14ac:dyDescent="0.35">
      <c r="A62" t="s">
        <v>30</v>
      </c>
      <c r="B62" t="e">
        <f>GETPIVOTDATA("Revenue",Both2!A1,"Region","North","City","missing")</f>
        <v>#REF!</v>
      </c>
    </row>
    <row r="63" spans="1:2" x14ac:dyDescent="0.35">
      <c r="A63" t="s">
        <v>30</v>
      </c>
      <c r="B63">
        <f>GETPIVOTDATA("Revenue",Both2!A1,"Region","West","City","Unique","Product","C","Channel","Direct")</f>
        <v>0</v>
      </c>
    </row>
    <row r="64" spans="1:2" x14ac:dyDescent="0.35">
      <c r="A64" t="s">
        <v>33</v>
      </c>
      <c r="B64">
        <f>GETPIVOTDATA("Revenue",'Row3'!A1)</f>
        <v>70</v>
      </c>
    </row>
    <row r="65" spans="1:2" x14ac:dyDescent="0.35">
      <c r="A65" t="s">
        <v>33</v>
      </c>
      <c r="B65">
        <f>GETPIVOTDATA("Revenue",'Row3'!A1,"Region","North")</f>
        <v>16</v>
      </c>
    </row>
    <row r="66" spans="1:2" x14ac:dyDescent="0.35">
      <c r="A66" t="s">
        <v>33</v>
      </c>
      <c r="B66" t="e">
        <f>GETPIVOTDATA("Revenue",'Row3'!A1,"City","East")</f>
        <v>#REF!</v>
      </c>
    </row>
    <row r="67" spans="1:2" x14ac:dyDescent="0.35">
      <c r="A67" t="s">
        <v>33</v>
      </c>
      <c r="B67">
        <f>GETPIVOTDATA("Revenue",'Row3'!A1,"Region","North","City","East")</f>
        <v>11</v>
      </c>
    </row>
    <row r="68" spans="1:2" x14ac:dyDescent="0.35">
      <c r="A68" t="s">
        <v>33</v>
      </c>
      <c r="B68" t="e">
        <f>GETPIVOTDATA("Revenue",'Row3'!A1,"Product","A")</f>
        <v>#REF!</v>
      </c>
    </row>
    <row r="69" spans="1:2" x14ac:dyDescent="0.35">
      <c r="A69" t="s">
        <v>33</v>
      </c>
      <c r="B69" t="e">
        <f>GETPIVOTDATA("Revenue",'Row3'!A1,"Region","North","Product","A")</f>
        <v>#REF!</v>
      </c>
    </row>
    <row r="70" spans="1:2" x14ac:dyDescent="0.35">
      <c r="A70" t="s">
        <v>33</v>
      </c>
      <c r="B70" t="e">
        <f>GETPIVOTDATA("Revenue",'Row3'!A1,"City","East","Product","A")</f>
        <v>#REF!</v>
      </c>
    </row>
    <row r="71" spans="1:2" x14ac:dyDescent="0.35">
      <c r="A71" t="s">
        <v>33</v>
      </c>
      <c r="B71">
        <f>GETPIVOTDATA("Revenue",'Row3'!A1,"Region","North","City","East","Product","A")</f>
        <v>13</v>
      </c>
    </row>
    <row r="72" spans="1:2" x14ac:dyDescent="0.35">
      <c r="A72" t="s">
        <v>33</v>
      </c>
      <c r="B72" t="e">
        <f>GETPIVOTDATA("Revenue",'Row3'!A1,"Channel","Retail")</f>
        <v>#REF!</v>
      </c>
    </row>
    <row r="73" spans="1:2" x14ac:dyDescent="0.35">
      <c r="A73" t="s">
        <v>33</v>
      </c>
      <c r="B73" t="e">
        <f>GETPIVOTDATA("Revenue",'Row3'!A1,"Region","North","Channel","Retail")</f>
        <v>#REF!</v>
      </c>
    </row>
    <row r="74" spans="1:2" x14ac:dyDescent="0.35">
      <c r="A74" t="s">
        <v>33</v>
      </c>
      <c r="B74" t="e">
        <f>GETPIVOTDATA("Revenue",'Row3'!A1,"City","East","Channel","Retail")</f>
        <v>#REF!</v>
      </c>
    </row>
    <row r="75" spans="1:2" x14ac:dyDescent="0.35">
      <c r="A75" t="s">
        <v>33</v>
      </c>
      <c r="B75" t="e">
        <f>GETPIVOTDATA("Revenue",'Row3'!A1,"Region","North","City","East","Channel","Retail")</f>
        <v>#REF!</v>
      </c>
    </row>
    <row r="76" spans="1:2" x14ac:dyDescent="0.35">
      <c r="A76" t="s">
        <v>33</v>
      </c>
      <c r="B76" t="e">
        <f>GETPIVOTDATA("Revenue",'Row3'!A1,"Product","A","Channel","Retail")</f>
        <v>#REF!</v>
      </c>
    </row>
    <row r="77" spans="1:2" x14ac:dyDescent="0.35">
      <c r="A77" t="s">
        <v>33</v>
      </c>
      <c r="B77" t="e">
        <f>GETPIVOTDATA("Revenue",'Row3'!A1,"Region","North","Product","A","Channel","Retail")</f>
        <v>#REF!</v>
      </c>
    </row>
    <row r="78" spans="1:2" x14ac:dyDescent="0.35">
      <c r="A78" t="s">
        <v>33</v>
      </c>
      <c r="B78" t="e">
        <f>GETPIVOTDATA("Revenue",'Row3'!A1,"City","East","Product","A","Channel","Retail")</f>
        <v>#REF!</v>
      </c>
    </row>
    <row r="79" spans="1:2" x14ac:dyDescent="0.35">
      <c r="A79" t="s">
        <v>33</v>
      </c>
      <c r="B79" t="e">
        <f>GETPIVOTDATA("Revenue",'Row3'!A1,"Region","North","City","East","Product","A","Channel","Retail")</f>
        <v>#REF!</v>
      </c>
    </row>
    <row r="80" spans="1:2" x14ac:dyDescent="0.35">
      <c r="A80" t="s">
        <v>33</v>
      </c>
      <c r="B80">
        <f>GETPIVOTDATA("Revenue",'Row3'!A1,"City","Unique")</f>
        <v>0</v>
      </c>
    </row>
    <row r="81" spans="1:2" x14ac:dyDescent="0.35">
      <c r="A81" t="s">
        <v>33</v>
      </c>
      <c r="B81">
        <f>GETPIVOTDATA("Revenue",'Row3'!A1,"Product","C")</f>
        <v>0</v>
      </c>
    </row>
    <row r="82" spans="1:2" x14ac:dyDescent="0.35">
      <c r="A82" t="s">
        <v>33</v>
      </c>
      <c r="B82" t="e">
        <f>GETPIVOTDATA("Revenue",'Row3'!A1,"Channel","Direct")</f>
        <v>#REF!</v>
      </c>
    </row>
    <row r="83" spans="1:2" x14ac:dyDescent="0.35">
      <c r="A83" t="s">
        <v>33</v>
      </c>
      <c r="B83" t="e">
        <f>GETPIVOTDATA("Revenue",'Row3'!A1,"Region","North","City","missing")</f>
        <v>#REF!</v>
      </c>
    </row>
    <row r="84" spans="1:2" x14ac:dyDescent="0.35">
      <c r="A84" t="s">
        <v>33</v>
      </c>
      <c r="B84" t="e">
        <f>GETPIVOTDATA("Revenue",'Row3'!A1,"Region","West","City","Unique","Product","C","Channel","Direct")</f>
        <v>#REF!</v>
      </c>
    </row>
    <row r="85" spans="1:2" x14ac:dyDescent="0.35">
      <c r="A85" t="s">
        <v>37</v>
      </c>
      <c r="B85">
        <f>GETPIVOTDATA("Revenue",'Col3'!A1)</f>
        <v>70</v>
      </c>
    </row>
    <row r="86" spans="1:2" x14ac:dyDescent="0.35">
      <c r="A86" t="s">
        <v>37</v>
      </c>
      <c r="B86" t="e">
        <f>GETPIVOTDATA("Revenue",'Col3'!A1,"Region","North")</f>
        <v>#REF!</v>
      </c>
    </row>
    <row r="87" spans="1:2" x14ac:dyDescent="0.35">
      <c r="A87" t="s">
        <v>37</v>
      </c>
      <c r="B87" t="e">
        <f>GETPIVOTDATA("Revenue",'Col3'!A1,"City","East")</f>
        <v>#REF!</v>
      </c>
    </row>
    <row r="88" spans="1:2" x14ac:dyDescent="0.35">
      <c r="A88" t="s">
        <v>37</v>
      </c>
      <c r="B88" t="e">
        <f>GETPIVOTDATA("Revenue",'Col3'!A1,"Region","North","City","East")</f>
        <v>#REF!</v>
      </c>
    </row>
    <row r="89" spans="1:2" x14ac:dyDescent="0.35">
      <c r="A89" t="s">
        <v>37</v>
      </c>
      <c r="B89">
        <f>GETPIVOTDATA("Revenue",'Col3'!A1,"Product","A")</f>
        <v>40</v>
      </c>
    </row>
    <row r="90" spans="1:2" x14ac:dyDescent="0.35">
      <c r="A90" t="s">
        <v>37</v>
      </c>
      <c r="B90" t="e">
        <f>GETPIVOTDATA("Revenue",'Col3'!A1,"Region","North","Product","A")</f>
        <v>#REF!</v>
      </c>
    </row>
    <row r="91" spans="1:2" x14ac:dyDescent="0.35">
      <c r="A91" t="s">
        <v>37</v>
      </c>
      <c r="B91" t="e">
        <f>GETPIVOTDATA("Revenue",'Col3'!A1,"City","East","Product","A")</f>
        <v>#REF!</v>
      </c>
    </row>
    <row r="92" spans="1:2" x14ac:dyDescent="0.35">
      <c r="A92" t="s">
        <v>37</v>
      </c>
      <c r="B92" t="e">
        <f>GETPIVOTDATA("Revenue",'Col3'!A1,"Region","North","City","East","Product","A")</f>
        <v>#REF!</v>
      </c>
    </row>
    <row r="93" spans="1:2" x14ac:dyDescent="0.35">
      <c r="A93" t="s">
        <v>37</v>
      </c>
      <c r="B93" t="e">
        <f>GETPIVOTDATA("Revenue",'Col3'!A1,"Channel","Retail")</f>
        <v>#REF!</v>
      </c>
    </row>
    <row r="94" spans="1:2" x14ac:dyDescent="0.35">
      <c r="A94" t="s">
        <v>37</v>
      </c>
      <c r="B94" t="e">
        <f>GETPIVOTDATA("Revenue",'Col3'!A1,"Region","North","Channel","Retail")</f>
        <v>#REF!</v>
      </c>
    </row>
    <row r="95" spans="1:2" x14ac:dyDescent="0.35">
      <c r="A95" t="s">
        <v>37</v>
      </c>
      <c r="B95" t="e">
        <f>GETPIVOTDATA("Revenue",'Col3'!A1,"City","East","Channel","Retail")</f>
        <v>#REF!</v>
      </c>
    </row>
    <row r="96" spans="1:2" x14ac:dyDescent="0.35">
      <c r="A96" t="s">
        <v>37</v>
      </c>
      <c r="B96" t="e">
        <f>GETPIVOTDATA("Revenue",'Col3'!A1,"Region","North","City","East","Channel","Retail")</f>
        <v>#REF!</v>
      </c>
    </row>
    <row r="97" spans="1:2" x14ac:dyDescent="0.35">
      <c r="A97" t="s">
        <v>37</v>
      </c>
      <c r="B97">
        <f>GETPIVOTDATA("Revenue",'Col3'!A1,"Product","A","Channel","Retail")</f>
        <v>17</v>
      </c>
    </row>
    <row r="98" spans="1:2" x14ac:dyDescent="0.35">
      <c r="A98" t="s">
        <v>37</v>
      </c>
      <c r="B98">
        <f>GETPIVOTDATA("Revenue",'Col3'!A1,"Region","North","Product","A","Channel","Retail")</f>
        <v>13</v>
      </c>
    </row>
    <row r="99" spans="1:2" x14ac:dyDescent="0.35">
      <c r="A99" t="s">
        <v>37</v>
      </c>
      <c r="B99" t="e">
        <f>GETPIVOTDATA("Revenue",'Col3'!A1,"City","East","Product","A","Channel","Retail")</f>
        <v>#REF!</v>
      </c>
    </row>
    <row r="100" spans="1:2" x14ac:dyDescent="0.35">
      <c r="A100" t="s">
        <v>37</v>
      </c>
      <c r="B100" t="e">
        <f>GETPIVOTDATA("Revenue",'Col3'!A1,"Region","North","City","East","Product","A","Channel","Retail")</f>
        <v>#REF!</v>
      </c>
    </row>
    <row r="101" spans="1:2" x14ac:dyDescent="0.35">
      <c r="A101" t="s">
        <v>37</v>
      </c>
      <c r="B101" t="e">
        <f>GETPIVOTDATA("Revenue",'Col3'!A1,"City","Unique")</f>
        <v>#REF!</v>
      </c>
    </row>
    <row r="102" spans="1:2" x14ac:dyDescent="0.35">
      <c r="A102" t="s">
        <v>37</v>
      </c>
      <c r="B102">
        <f>GETPIVOTDATA("Revenue",'Col3'!A1,"Product","C")</f>
        <v>0</v>
      </c>
    </row>
    <row r="103" spans="1:2" x14ac:dyDescent="0.35">
      <c r="A103" t="s">
        <v>37</v>
      </c>
      <c r="B103">
        <f>GETPIVOTDATA("Revenue",'Col3'!A1,"Channel","Direct")</f>
        <v>0</v>
      </c>
    </row>
    <row r="104" spans="1:2" x14ac:dyDescent="0.35">
      <c r="A104" t="s">
        <v>37</v>
      </c>
      <c r="B104" t="e">
        <f>GETPIVOTDATA("Revenue",'Col3'!A1,"Region","North","City","missing")</f>
        <v>#REF!</v>
      </c>
    </row>
    <row r="105" spans="1:2" x14ac:dyDescent="0.35">
      <c r="A105" t="s">
        <v>37</v>
      </c>
      <c r="B105" t="e">
        <f>GETPIVOTDATA("Revenue",'Col3'!A1,"Region","West","City","Unique","Product","C","Channel","Direct")</f>
        <v>#REF!</v>
      </c>
    </row>
    <row r="106" spans="1:2" x14ac:dyDescent="0.35">
      <c r="A106" t="s">
        <v>53</v>
      </c>
      <c r="B106">
        <f>GETPIVOTDATA("Revenue",ManyCol!A1)</f>
        <v>70</v>
      </c>
    </row>
    <row r="107" spans="1:2" x14ac:dyDescent="0.35">
      <c r="A107" t="s">
        <v>53</v>
      </c>
      <c r="B107">
        <f>GETPIVOTDATA("Revenue",ManyCol!A1,"Region","North")</f>
        <v>16</v>
      </c>
    </row>
    <row r="108" spans="1:2" x14ac:dyDescent="0.35">
      <c r="A108" t="s">
        <v>53</v>
      </c>
      <c r="B108" t="e">
        <f>GETPIVOTDATA("Revenue",ManyCol!A1,"City","East")</f>
        <v>#REF!</v>
      </c>
    </row>
    <row r="109" spans="1:2" x14ac:dyDescent="0.35">
      <c r="A109" t="s">
        <v>53</v>
      </c>
      <c r="B109">
        <f>GETPIVOTDATA("Revenue",ManyCol!A1,"Region","North","City","East")</f>
        <v>11</v>
      </c>
    </row>
    <row r="110" spans="1:2" x14ac:dyDescent="0.35">
      <c r="A110" t="s">
        <v>53</v>
      </c>
      <c r="B110">
        <f>GETPIVOTDATA("Revenue",ManyCol!A1,"Product","A")</f>
        <v>40</v>
      </c>
    </row>
    <row r="111" spans="1:2" x14ac:dyDescent="0.35">
      <c r="A111" t="s">
        <v>53</v>
      </c>
      <c r="B111">
        <f>GETPIVOTDATA("Revenue",ManyCol!A1,"Region","North","Product","A")</f>
        <v>13</v>
      </c>
    </row>
    <row r="112" spans="1:2" x14ac:dyDescent="0.35">
      <c r="A112" t="s">
        <v>53</v>
      </c>
      <c r="B112" t="e">
        <f>GETPIVOTDATA("Revenue",ManyCol!A1,"City","East","Product","A")</f>
        <v>#REF!</v>
      </c>
    </row>
    <row r="113" spans="1:2" x14ac:dyDescent="0.35">
      <c r="A113" t="s">
        <v>53</v>
      </c>
      <c r="B113">
        <f>GETPIVOTDATA("Revenue",ManyCol!A1,"Region","North","City","East","Product","A")</f>
        <v>13</v>
      </c>
    </row>
    <row r="114" spans="1:2" x14ac:dyDescent="0.35">
      <c r="A114" t="s">
        <v>53</v>
      </c>
      <c r="B114" t="e">
        <f>GETPIVOTDATA("Revenue",ManyCol!A1,"Channel","Retail")</f>
        <v>#REF!</v>
      </c>
    </row>
    <row r="115" spans="1:2" x14ac:dyDescent="0.35">
      <c r="A115" t="s">
        <v>53</v>
      </c>
      <c r="B115" t="e">
        <f>GETPIVOTDATA("Revenue",ManyCol!A1,"Region","North","Channel","Retail")</f>
        <v>#REF!</v>
      </c>
    </row>
    <row r="116" spans="1:2" x14ac:dyDescent="0.35">
      <c r="A116" t="s">
        <v>53</v>
      </c>
      <c r="B116" t="e">
        <f>GETPIVOTDATA("Revenue",ManyCol!A1,"City","East","Channel","Retail")</f>
        <v>#REF!</v>
      </c>
    </row>
    <row r="117" spans="1:2" x14ac:dyDescent="0.35">
      <c r="A117" t="s">
        <v>53</v>
      </c>
      <c r="B117" t="e">
        <f>GETPIVOTDATA("Revenue",ManyCol!A1,"Region","North","City","East","Channel","Retail")</f>
        <v>#REF!</v>
      </c>
    </row>
    <row r="118" spans="1:2" x14ac:dyDescent="0.35">
      <c r="A118" t="s">
        <v>53</v>
      </c>
      <c r="B118">
        <f>GETPIVOTDATA("Revenue",ManyCol!A1,"Product","A","Channel","Retail")</f>
        <v>17</v>
      </c>
    </row>
    <row r="119" spans="1:2" x14ac:dyDescent="0.35">
      <c r="A119" t="s">
        <v>53</v>
      </c>
      <c r="B119">
        <f>GETPIVOTDATA("Revenue",ManyCol!A1,"Region","North","Product","A","Channel","Retail")</f>
        <v>13</v>
      </c>
    </row>
    <row r="120" spans="1:2" x14ac:dyDescent="0.35">
      <c r="A120" t="s">
        <v>53</v>
      </c>
      <c r="B120" t="e">
        <f>GETPIVOTDATA("Revenue",ManyCol!A1,"City","East","Product","A","Channel","Retail")</f>
        <v>#REF!</v>
      </c>
    </row>
    <row r="121" spans="1:2" x14ac:dyDescent="0.35">
      <c r="A121" t="s">
        <v>53</v>
      </c>
      <c r="B121">
        <f>GETPIVOTDATA("Revenue",ManyCol!A1,"Region","North","City","East","Product","A","Channel","Retail")</f>
        <v>13</v>
      </c>
    </row>
    <row r="122" spans="1:2" x14ac:dyDescent="0.35">
      <c r="A122" t="s">
        <v>53</v>
      </c>
      <c r="B122">
        <f>GETPIVOTDATA("Revenue",ManyCol!A1,"City","Unique")</f>
        <v>0</v>
      </c>
    </row>
    <row r="123" spans="1:2" x14ac:dyDescent="0.35">
      <c r="A123" t="s">
        <v>53</v>
      </c>
      <c r="B123">
        <f>GETPIVOTDATA("Revenue",ManyCol!A1,"Product","C")</f>
        <v>0</v>
      </c>
    </row>
    <row r="124" spans="1:2" x14ac:dyDescent="0.35">
      <c r="A124" t="s">
        <v>53</v>
      </c>
      <c r="B124">
        <f>GETPIVOTDATA("Revenue",ManyCol!A1,"Channel","Direct")</f>
        <v>0</v>
      </c>
    </row>
    <row r="125" spans="1:2" x14ac:dyDescent="0.35">
      <c r="A125" t="s">
        <v>53</v>
      </c>
      <c r="B125" t="e">
        <f>GETPIVOTDATA("Revenue",ManyCol!A1,"Region","North","City","missing")</f>
        <v>#REF!</v>
      </c>
    </row>
    <row r="126" spans="1:2" x14ac:dyDescent="0.35">
      <c r="A126" t="s">
        <v>53</v>
      </c>
      <c r="B126">
        <f>GETPIVOTDATA("Revenue",ManyCol!A1,"Region","West","City","Unique","Product","C","Channel","Direct")</f>
        <v>0</v>
      </c>
    </row>
    <row r="127" spans="1:2" x14ac:dyDescent="0.35">
      <c r="A127" t="s">
        <v>53</v>
      </c>
      <c r="B127">
        <f>GETPIVOTDATA("AvgUnits",ManyCol!A1)</f>
        <v>2.6666666666666665</v>
      </c>
    </row>
    <row r="128" spans="1:2" x14ac:dyDescent="0.35">
      <c r="A128" t="s">
        <v>53</v>
      </c>
      <c r="B128">
        <f>GETPIVOTDATA("AvgUnits",ManyCol!A1,"Region","North")</f>
        <v>2.2000000000000002</v>
      </c>
    </row>
    <row r="129" spans="1:2" x14ac:dyDescent="0.35">
      <c r="A129" t="s">
        <v>53</v>
      </c>
      <c r="B129" t="e">
        <f>GETPIVOTDATA("AvgUnits",ManyCol!A1,"City","East")</f>
        <v>#REF!</v>
      </c>
    </row>
    <row r="130" spans="1:2" x14ac:dyDescent="0.35">
      <c r="A130" t="s">
        <v>53</v>
      </c>
      <c r="B130">
        <f>GETPIVOTDATA("AvgUnits",ManyCol!A1,"Region","North","City","East")</f>
        <v>3</v>
      </c>
    </row>
    <row r="131" spans="1:2" x14ac:dyDescent="0.35">
      <c r="A131" t="s">
        <v>53</v>
      </c>
      <c r="B131">
        <f>GETPIVOTDATA("AvgUnits",ManyCol!A1,"Product","A")</f>
        <v>2.7142857142857144</v>
      </c>
    </row>
    <row r="132" spans="1:2" x14ac:dyDescent="0.35">
      <c r="A132" t="s">
        <v>53</v>
      </c>
      <c r="B132">
        <f>GETPIVOTDATA("AvgUnits",ManyCol!A1,"Region","North","Product","A")</f>
        <v>3</v>
      </c>
    </row>
    <row r="133" spans="1:2" x14ac:dyDescent="0.35">
      <c r="A133" t="s">
        <v>53</v>
      </c>
      <c r="B133" t="e">
        <f>GETPIVOTDATA("AvgUnits",ManyCol!A1,"City","East","Product","A")</f>
        <v>#REF!</v>
      </c>
    </row>
    <row r="134" spans="1:2" x14ac:dyDescent="0.35">
      <c r="A134" t="s">
        <v>53</v>
      </c>
      <c r="B134">
        <f>GETPIVOTDATA("AvgUnits",ManyCol!A1,"Region","North","City","East","Product","A")</f>
        <v>4</v>
      </c>
    </row>
    <row r="135" spans="1:2" x14ac:dyDescent="0.35">
      <c r="A135" t="s">
        <v>53</v>
      </c>
      <c r="B135" t="e">
        <f>GETPIVOTDATA("AvgUnits",ManyCol!A1,"Channel","Retail")</f>
        <v>#REF!</v>
      </c>
    </row>
    <row r="136" spans="1:2" x14ac:dyDescent="0.35">
      <c r="A136" t="s">
        <v>53</v>
      </c>
      <c r="B136" t="e">
        <f>GETPIVOTDATA("AvgUnits",ManyCol!A1,"Region","North","Channel","Retail")</f>
        <v>#REF!</v>
      </c>
    </row>
    <row r="137" spans="1:2" x14ac:dyDescent="0.35">
      <c r="A137" t="s">
        <v>53</v>
      </c>
      <c r="B137" t="e">
        <f>GETPIVOTDATA("AvgUnits",ManyCol!A1,"City","East","Channel","Retail")</f>
        <v>#REF!</v>
      </c>
    </row>
    <row r="138" spans="1:2" x14ac:dyDescent="0.35">
      <c r="A138" t="s">
        <v>53</v>
      </c>
      <c r="B138" t="e">
        <f>GETPIVOTDATA("AvgUnits",ManyCol!A1,"Region","North","City","East","Channel","Retail")</f>
        <v>#REF!</v>
      </c>
    </row>
    <row r="139" spans="1:2" x14ac:dyDescent="0.35">
      <c r="A139" t="s">
        <v>53</v>
      </c>
      <c r="B139">
        <f>GETPIVOTDATA("AvgUnits",ManyCol!A1,"Product","A","Channel","Retail")</f>
        <v>3</v>
      </c>
    </row>
    <row r="140" spans="1:2" x14ac:dyDescent="0.35">
      <c r="A140" t="s">
        <v>53</v>
      </c>
      <c r="B140">
        <f>GETPIVOTDATA("AvgUnits",ManyCol!A1,"Region","North","Product","A","Channel","Retail")</f>
        <v>4</v>
      </c>
    </row>
    <row r="141" spans="1:2" x14ac:dyDescent="0.35">
      <c r="A141" t="s">
        <v>53</v>
      </c>
      <c r="B141" t="e">
        <f>GETPIVOTDATA("AvgUnits",ManyCol!A1,"City","East","Product","A","Channel","Retail")</f>
        <v>#REF!</v>
      </c>
    </row>
    <row r="142" spans="1:2" x14ac:dyDescent="0.35">
      <c r="A142" t="s">
        <v>53</v>
      </c>
      <c r="B142">
        <f>GETPIVOTDATA("AvgUnits",ManyCol!A1,"Region","North","City","East","Product","A","Channel","Retail")</f>
        <v>4</v>
      </c>
    </row>
    <row r="143" spans="1:2" x14ac:dyDescent="0.35">
      <c r="A143" t="s">
        <v>53</v>
      </c>
      <c r="B143">
        <f>GETPIVOTDATA("AvgUnits",ManyCol!A1,"City","Unique")</f>
        <v>5</v>
      </c>
    </row>
    <row r="144" spans="1:2" x14ac:dyDescent="0.35">
      <c r="A144" t="s">
        <v>53</v>
      </c>
      <c r="B144">
        <f>GETPIVOTDATA("AvgUnits",ManyCol!A1,"Product","C")</f>
        <v>5</v>
      </c>
    </row>
    <row r="145" spans="1:2" x14ac:dyDescent="0.35">
      <c r="A145" t="s">
        <v>53</v>
      </c>
      <c r="B145">
        <f>GETPIVOTDATA("AvgUnits",ManyCol!A1,"Channel","Direct")</f>
        <v>5</v>
      </c>
    </row>
    <row r="146" spans="1:2" x14ac:dyDescent="0.35">
      <c r="A146" t="s">
        <v>53</v>
      </c>
      <c r="B146" t="e">
        <f>GETPIVOTDATA("AvgUnits",ManyCol!A1,"Region","North","City","missing")</f>
        <v>#REF!</v>
      </c>
    </row>
    <row r="147" spans="1:2" x14ac:dyDescent="0.35">
      <c r="A147" t="s">
        <v>53</v>
      </c>
      <c r="B147">
        <f>GETPIVOTDATA("AvgUnits",ManyCol!A1,"Region","West","City","Unique","Product","C","Channel","Direct")</f>
        <v>5</v>
      </c>
    </row>
    <row r="148" spans="1:2" x14ac:dyDescent="0.35">
      <c r="A148" t="s">
        <v>53</v>
      </c>
      <c r="B148">
        <f>GETPIVOTDATA("Entries",ManyCol!A1)</f>
        <v>11</v>
      </c>
    </row>
    <row r="149" spans="1:2" x14ac:dyDescent="0.35">
      <c r="A149" t="s">
        <v>53</v>
      </c>
      <c r="B149">
        <f>GETPIVOTDATA("Entries",ManyCol!A1,"Region","North")</f>
        <v>5</v>
      </c>
    </row>
    <row r="150" spans="1:2" x14ac:dyDescent="0.35">
      <c r="A150" t="s">
        <v>53</v>
      </c>
      <c r="B150" t="e">
        <f>GETPIVOTDATA("Entries",ManyCol!A1,"City","East")</f>
        <v>#REF!</v>
      </c>
    </row>
    <row r="151" spans="1:2" x14ac:dyDescent="0.35">
      <c r="A151" t="s">
        <v>53</v>
      </c>
      <c r="B151">
        <f>GETPIVOTDATA("Entries",ManyCol!A1,"Region","North","City","East")</f>
        <v>3</v>
      </c>
    </row>
    <row r="152" spans="1:2" x14ac:dyDescent="0.35">
      <c r="A152" t="s">
        <v>53</v>
      </c>
      <c r="B152">
        <f>GETPIVOTDATA("Entries",ManyCol!A1,"Product","A")</f>
        <v>7</v>
      </c>
    </row>
    <row r="153" spans="1:2" x14ac:dyDescent="0.35">
      <c r="A153" t="s">
        <v>53</v>
      </c>
      <c r="B153">
        <f>GETPIVOTDATA("Entries",ManyCol!A1,"Region","North","Product","A")</f>
        <v>3</v>
      </c>
    </row>
    <row r="154" spans="1:2" x14ac:dyDescent="0.35">
      <c r="A154" t="s">
        <v>53</v>
      </c>
      <c r="B154" t="e">
        <f>GETPIVOTDATA("Entries",ManyCol!A1,"City","East","Product","A")</f>
        <v>#REF!</v>
      </c>
    </row>
    <row r="155" spans="1:2" x14ac:dyDescent="0.35">
      <c r="A155" t="s">
        <v>53</v>
      </c>
      <c r="B155">
        <f>GETPIVOTDATA("Entries",ManyCol!A1,"Region","North","City","East","Product","A")</f>
        <v>2</v>
      </c>
    </row>
    <row r="156" spans="1:2" x14ac:dyDescent="0.35">
      <c r="A156" t="s">
        <v>53</v>
      </c>
      <c r="B156" t="e">
        <f>GETPIVOTDATA("Entries",ManyCol!A1,"Channel","Retail")</f>
        <v>#REF!</v>
      </c>
    </row>
    <row r="157" spans="1:2" x14ac:dyDescent="0.35">
      <c r="A157" t="s">
        <v>53</v>
      </c>
      <c r="B157" t="e">
        <f>GETPIVOTDATA("Entries",ManyCol!A1,"Region","North","Channel","Retail")</f>
        <v>#REF!</v>
      </c>
    </row>
    <row r="158" spans="1:2" x14ac:dyDescent="0.35">
      <c r="A158" t="s">
        <v>53</v>
      </c>
      <c r="B158" t="e">
        <f>GETPIVOTDATA("Entries",ManyCol!A1,"City","East","Channel","Retail")</f>
        <v>#REF!</v>
      </c>
    </row>
    <row r="159" spans="1:2" x14ac:dyDescent="0.35">
      <c r="A159" t="s">
        <v>53</v>
      </c>
      <c r="B159" t="e">
        <f>GETPIVOTDATA("Entries",ManyCol!A1,"Region","North","City","East","Channel","Retail")</f>
        <v>#REF!</v>
      </c>
    </row>
    <row r="160" spans="1:2" x14ac:dyDescent="0.35">
      <c r="A160" t="s">
        <v>53</v>
      </c>
      <c r="B160">
        <f>GETPIVOTDATA("Entries",ManyCol!A1,"Product","A","Channel","Retail")</f>
        <v>4</v>
      </c>
    </row>
    <row r="161" spans="1:2" x14ac:dyDescent="0.35">
      <c r="A161" t="s">
        <v>53</v>
      </c>
      <c r="B161">
        <f>GETPIVOTDATA("Entries",ManyCol!A1,"Region","North","Product","A","Channel","Retail")</f>
        <v>2</v>
      </c>
    </row>
    <row r="162" spans="1:2" x14ac:dyDescent="0.35">
      <c r="A162" t="s">
        <v>53</v>
      </c>
      <c r="B162" t="e">
        <f>GETPIVOTDATA("Entries",ManyCol!A1,"City","East","Product","A","Channel","Retail")</f>
        <v>#REF!</v>
      </c>
    </row>
    <row r="163" spans="1:2" x14ac:dyDescent="0.35">
      <c r="A163" t="s">
        <v>53</v>
      </c>
      <c r="B163">
        <f>GETPIVOTDATA("Entries",ManyCol!A1,"Region","North","City","East","Product","A","Channel","Retail")</f>
        <v>2</v>
      </c>
    </row>
    <row r="164" spans="1:2" x14ac:dyDescent="0.35">
      <c r="A164" t="s">
        <v>53</v>
      </c>
      <c r="B164">
        <f>GETPIVOTDATA("Entries",ManyCol!A1,"City","Unique")</f>
        <v>0</v>
      </c>
    </row>
    <row r="165" spans="1:2" x14ac:dyDescent="0.35">
      <c r="A165" t="s">
        <v>53</v>
      </c>
      <c r="B165">
        <f>GETPIVOTDATA("Entries",ManyCol!A1,"Product","C")</f>
        <v>0</v>
      </c>
    </row>
    <row r="166" spans="1:2" x14ac:dyDescent="0.35">
      <c r="A166" t="s">
        <v>53</v>
      </c>
      <c r="B166">
        <f>GETPIVOTDATA("Entries",ManyCol!A1,"Channel","Direct")</f>
        <v>0</v>
      </c>
    </row>
    <row r="167" spans="1:2" x14ac:dyDescent="0.35">
      <c r="A167" t="s">
        <v>53</v>
      </c>
      <c r="B167" t="e">
        <f>GETPIVOTDATA("Entries",ManyCol!A1,"Region","North","City","missing")</f>
        <v>#REF!</v>
      </c>
    </row>
    <row r="168" spans="1:2" x14ac:dyDescent="0.35">
      <c r="A168" t="s">
        <v>53</v>
      </c>
      <c r="B168">
        <f>GETPIVOTDATA("Entries",ManyCol!A1,"Region","West","City","Unique","Product","C","Channel","Direct")</f>
        <v>0</v>
      </c>
    </row>
    <row r="169" spans="1:2" x14ac:dyDescent="0.35">
      <c r="A169" t="s">
        <v>63</v>
      </c>
      <c r="B169">
        <f>GETPIVOTDATA("Revenue",ManyRow!A1)</f>
        <v>70</v>
      </c>
    </row>
    <row r="170" spans="1:2" x14ac:dyDescent="0.35">
      <c r="A170" t="s">
        <v>63</v>
      </c>
      <c r="B170">
        <f>GETPIVOTDATA("Revenue",ManyRow!A1,"Region","North")</f>
        <v>16</v>
      </c>
    </row>
    <row r="171" spans="1:2" x14ac:dyDescent="0.35">
      <c r="A171" t="s">
        <v>63</v>
      </c>
      <c r="B171" t="e">
        <f>GETPIVOTDATA("Revenue",ManyRow!A1,"City","East")</f>
        <v>#REF!</v>
      </c>
    </row>
    <row r="172" spans="1:2" x14ac:dyDescent="0.35">
      <c r="A172" t="s">
        <v>63</v>
      </c>
      <c r="B172">
        <f>GETPIVOTDATA("Revenue",ManyRow!A1,"Region","North","City","East")</f>
        <v>11</v>
      </c>
    </row>
    <row r="173" spans="1:2" x14ac:dyDescent="0.35">
      <c r="A173" t="s">
        <v>63</v>
      </c>
      <c r="B173">
        <f>GETPIVOTDATA("Revenue",ManyRow!A1,"Product","A")</f>
        <v>40</v>
      </c>
    </row>
    <row r="174" spans="1:2" x14ac:dyDescent="0.35">
      <c r="A174" t="s">
        <v>63</v>
      </c>
      <c r="B174">
        <f>GETPIVOTDATA("Revenue",ManyRow!A1,"Region","North","Product","A")</f>
        <v>13</v>
      </c>
    </row>
    <row r="175" spans="1:2" x14ac:dyDescent="0.35">
      <c r="A175" t="s">
        <v>63</v>
      </c>
      <c r="B175" t="e">
        <f>GETPIVOTDATA("Revenue",ManyRow!A1,"City","East","Product","A")</f>
        <v>#REF!</v>
      </c>
    </row>
    <row r="176" spans="1:2" x14ac:dyDescent="0.35">
      <c r="A176" t="s">
        <v>63</v>
      </c>
      <c r="B176">
        <f>GETPIVOTDATA("Revenue",ManyRow!A1,"Region","North","City","East","Product","A")</f>
        <v>13</v>
      </c>
    </row>
    <row r="177" spans="1:2" x14ac:dyDescent="0.35">
      <c r="A177" t="s">
        <v>63</v>
      </c>
      <c r="B177" t="e">
        <f>GETPIVOTDATA("Revenue",ManyRow!A1,"Channel","Retail")</f>
        <v>#REF!</v>
      </c>
    </row>
    <row r="178" spans="1:2" x14ac:dyDescent="0.35">
      <c r="A178" t="s">
        <v>63</v>
      </c>
      <c r="B178" t="e">
        <f>GETPIVOTDATA("Revenue",ManyRow!A1,"Region","North","Channel","Retail")</f>
        <v>#REF!</v>
      </c>
    </row>
    <row r="179" spans="1:2" x14ac:dyDescent="0.35">
      <c r="A179" t="s">
        <v>63</v>
      </c>
      <c r="B179" t="e">
        <f>GETPIVOTDATA("Revenue",ManyRow!A1,"City","East","Channel","Retail")</f>
        <v>#REF!</v>
      </c>
    </row>
    <row r="180" spans="1:2" x14ac:dyDescent="0.35">
      <c r="A180" t="s">
        <v>63</v>
      </c>
      <c r="B180" t="e">
        <f>GETPIVOTDATA("Revenue",ManyRow!A1,"Region","North","City","East","Channel","Retail")</f>
        <v>#REF!</v>
      </c>
    </row>
    <row r="181" spans="1:2" x14ac:dyDescent="0.35">
      <c r="A181" t="s">
        <v>63</v>
      </c>
      <c r="B181">
        <f>GETPIVOTDATA("Revenue",ManyRow!A1,"Product","A","Channel","Retail")</f>
        <v>17</v>
      </c>
    </row>
    <row r="182" spans="1:2" x14ac:dyDescent="0.35">
      <c r="A182" t="s">
        <v>63</v>
      </c>
      <c r="B182">
        <f>GETPIVOTDATA("Revenue",ManyRow!A1,"Region","North","Product","A","Channel","Retail")</f>
        <v>13</v>
      </c>
    </row>
    <row r="183" spans="1:2" x14ac:dyDescent="0.35">
      <c r="A183" t="s">
        <v>63</v>
      </c>
      <c r="B183" t="e">
        <f>GETPIVOTDATA("Revenue",ManyRow!A1,"City","East","Product","A","Channel","Retail")</f>
        <v>#REF!</v>
      </c>
    </row>
    <row r="184" spans="1:2" x14ac:dyDescent="0.35">
      <c r="A184" t="s">
        <v>63</v>
      </c>
      <c r="B184">
        <f>GETPIVOTDATA("Revenue",ManyRow!A1,"Region","North","City","East","Product","A","Channel","Retail")</f>
        <v>13</v>
      </c>
    </row>
    <row r="185" spans="1:2" x14ac:dyDescent="0.35">
      <c r="A185" t="s">
        <v>63</v>
      </c>
      <c r="B185">
        <f>GETPIVOTDATA("Revenue",ManyRow!A1,"City","Unique")</f>
        <v>0</v>
      </c>
    </row>
    <row r="186" spans="1:2" x14ac:dyDescent="0.35">
      <c r="A186" t="s">
        <v>63</v>
      </c>
      <c r="B186">
        <f>GETPIVOTDATA("Revenue",ManyRow!A1,"Product","C")</f>
        <v>0</v>
      </c>
    </row>
    <row r="187" spans="1:2" x14ac:dyDescent="0.35">
      <c r="A187" t="s">
        <v>63</v>
      </c>
      <c r="B187">
        <f>GETPIVOTDATA("Revenue",ManyRow!A1,"Channel","Direct")</f>
        <v>0</v>
      </c>
    </row>
    <row r="188" spans="1:2" x14ac:dyDescent="0.35">
      <c r="A188" t="s">
        <v>63</v>
      </c>
      <c r="B188" t="e">
        <f>GETPIVOTDATA("Revenue",ManyRow!A1,"Region","North","City","missing")</f>
        <v>#REF!</v>
      </c>
    </row>
    <row r="189" spans="1:2" x14ac:dyDescent="0.35">
      <c r="A189" t="s">
        <v>63</v>
      </c>
      <c r="B189">
        <f>GETPIVOTDATA("Revenue",ManyRow!A1,"Region","West","City","Unique","Product","C","Channel","Direct")</f>
        <v>0</v>
      </c>
    </row>
    <row r="190" spans="1:2" x14ac:dyDescent="0.35">
      <c r="A190" t="s">
        <v>63</v>
      </c>
      <c r="B190">
        <f>GETPIVOTDATA("AvgUnits",ManyRow!A1)</f>
        <v>2.6666666666666665</v>
      </c>
    </row>
    <row r="191" spans="1:2" x14ac:dyDescent="0.35">
      <c r="A191" t="s">
        <v>63</v>
      </c>
      <c r="B191">
        <f>GETPIVOTDATA("AvgUnits",ManyRow!A1,"Region","North")</f>
        <v>2.2000000000000002</v>
      </c>
    </row>
    <row r="192" spans="1:2" x14ac:dyDescent="0.35">
      <c r="A192" t="s">
        <v>63</v>
      </c>
      <c r="B192" t="e">
        <f>GETPIVOTDATA("AvgUnits",ManyRow!A1,"City","East")</f>
        <v>#REF!</v>
      </c>
    </row>
    <row r="193" spans="1:2" x14ac:dyDescent="0.35">
      <c r="A193" t="s">
        <v>63</v>
      </c>
      <c r="B193">
        <f>GETPIVOTDATA("AvgUnits",ManyRow!A1,"Region","North","City","East")</f>
        <v>3</v>
      </c>
    </row>
    <row r="194" spans="1:2" x14ac:dyDescent="0.35">
      <c r="A194" t="s">
        <v>63</v>
      </c>
      <c r="B194">
        <f>GETPIVOTDATA("AvgUnits",ManyRow!A1,"Product","A")</f>
        <v>2.7142857142857144</v>
      </c>
    </row>
    <row r="195" spans="1:2" x14ac:dyDescent="0.35">
      <c r="A195" t="s">
        <v>63</v>
      </c>
      <c r="B195">
        <f>GETPIVOTDATA("AvgUnits",ManyRow!A1,"Region","North","Product","A")</f>
        <v>3</v>
      </c>
    </row>
    <row r="196" spans="1:2" x14ac:dyDescent="0.35">
      <c r="A196" t="s">
        <v>63</v>
      </c>
      <c r="B196" t="e">
        <f>GETPIVOTDATA("AvgUnits",ManyRow!A1,"City","East","Product","A")</f>
        <v>#REF!</v>
      </c>
    </row>
    <row r="197" spans="1:2" x14ac:dyDescent="0.35">
      <c r="A197" t="s">
        <v>63</v>
      </c>
      <c r="B197">
        <f>GETPIVOTDATA("AvgUnits",ManyRow!A1,"Region","North","City","East","Product","A")</f>
        <v>4</v>
      </c>
    </row>
    <row r="198" spans="1:2" x14ac:dyDescent="0.35">
      <c r="A198" t="s">
        <v>63</v>
      </c>
      <c r="B198" t="e">
        <f>GETPIVOTDATA("AvgUnits",ManyRow!A1,"Channel","Retail")</f>
        <v>#REF!</v>
      </c>
    </row>
    <row r="199" spans="1:2" x14ac:dyDescent="0.35">
      <c r="A199" t="s">
        <v>63</v>
      </c>
      <c r="B199" t="e">
        <f>GETPIVOTDATA("AvgUnits",ManyRow!A1,"Region","North","Channel","Retail")</f>
        <v>#REF!</v>
      </c>
    </row>
    <row r="200" spans="1:2" x14ac:dyDescent="0.35">
      <c r="A200" t="s">
        <v>63</v>
      </c>
      <c r="B200" t="e">
        <f>GETPIVOTDATA("AvgUnits",ManyRow!A1,"City","East","Channel","Retail")</f>
        <v>#REF!</v>
      </c>
    </row>
    <row r="201" spans="1:2" x14ac:dyDescent="0.35">
      <c r="A201" t="s">
        <v>63</v>
      </c>
      <c r="B201" t="e">
        <f>GETPIVOTDATA("AvgUnits",ManyRow!A1,"Region","North","City","East","Channel","Retail")</f>
        <v>#REF!</v>
      </c>
    </row>
    <row r="202" spans="1:2" x14ac:dyDescent="0.35">
      <c r="A202" t="s">
        <v>63</v>
      </c>
      <c r="B202">
        <f>GETPIVOTDATA("AvgUnits",ManyRow!A1,"Product","A","Channel","Retail")</f>
        <v>3</v>
      </c>
    </row>
    <row r="203" spans="1:2" x14ac:dyDescent="0.35">
      <c r="A203" t="s">
        <v>63</v>
      </c>
      <c r="B203">
        <f>GETPIVOTDATA("AvgUnits",ManyRow!A1,"Region","North","Product","A","Channel","Retail")</f>
        <v>4</v>
      </c>
    </row>
    <row r="204" spans="1:2" x14ac:dyDescent="0.35">
      <c r="A204" t="s">
        <v>63</v>
      </c>
      <c r="B204" t="e">
        <f>GETPIVOTDATA("AvgUnits",ManyRow!A1,"City","East","Product","A","Channel","Retail")</f>
        <v>#REF!</v>
      </c>
    </row>
    <row r="205" spans="1:2" x14ac:dyDescent="0.35">
      <c r="A205" t="s">
        <v>63</v>
      </c>
      <c r="B205">
        <f>GETPIVOTDATA("AvgUnits",ManyRow!A1,"Region","North","City","East","Product","A","Channel","Retail")</f>
        <v>4</v>
      </c>
    </row>
    <row r="206" spans="1:2" x14ac:dyDescent="0.35">
      <c r="A206" t="s">
        <v>63</v>
      </c>
      <c r="B206">
        <f>GETPIVOTDATA("AvgUnits",ManyRow!A1,"City","Unique")</f>
        <v>5</v>
      </c>
    </row>
    <row r="207" spans="1:2" x14ac:dyDescent="0.35">
      <c r="A207" t="s">
        <v>63</v>
      </c>
      <c r="B207">
        <f>GETPIVOTDATA("AvgUnits",ManyRow!A1,"Product","C")</f>
        <v>5</v>
      </c>
    </row>
    <row r="208" spans="1:2" x14ac:dyDescent="0.35">
      <c r="A208" t="s">
        <v>63</v>
      </c>
      <c r="B208">
        <f>GETPIVOTDATA("AvgUnits",ManyRow!A1,"Channel","Direct")</f>
        <v>5</v>
      </c>
    </row>
    <row r="209" spans="1:2" x14ac:dyDescent="0.35">
      <c r="A209" t="s">
        <v>63</v>
      </c>
      <c r="B209" t="e">
        <f>GETPIVOTDATA("AvgUnits",ManyRow!A1,"Region","North","City","missing")</f>
        <v>#REF!</v>
      </c>
    </row>
    <row r="210" spans="1:2" x14ac:dyDescent="0.35">
      <c r="A210" t="s">
        <v>63</v>
      </c>
      <c r="B210">
        <f>GETPIVOTDATA("AvgUnits",ManyRow!A1,"Region","West","City","Unique","Product","C","Channel","Direct")</f>
        <v>5</v>
      </c>
    </row>
    <row r="211" spans="1:2" x14ac:dyDescent="0.35">
      <c r="A211" t="s">
        <v>63</v>
      </c>
      <c r="B211">
        <f>GETPIVOTDATA("Entries",ManyRow!A1)</f>
        <v>11</v>
      </c>
    </row>
    <row r="212" spans="1:2" x14ac:dyDescent="0.35">
      <c r="A212" t="s">
        <v>63</v>
      </c>
      <c r="B212">
        <f>GETPIVOTDATA("Entries",ManyRow!A1,"Region","North")</f>
        <v>5</v>
      </c>
    </row>
    <row r="213" spans="1:2" x14ac:dyDescent="0.35">
      <c r="A213" t="s">
        <v>63</v>
      </c>
      <c r="B213" t="e">
        <f>GETPIVOTDATA("Entries",ManyRow!A1,"City","East")</f>
        <v>#REF!</v>
      </c>
    </row>
    <row r="214" spans="1:2" x14ac:dyDescent="0.35">
      <c r="A214" t="s">
        <v>63</v>
      </c>
      <c r="B214">
        <f>GETPIVOTDATA("Entries",ManyRow!A1,"Region","North","City","East")</f>
        <v>3</v>
      </c>
    </row>
    <row r="215" spans="1:2" x14ac:dyDescent="0.35">
      <c r="A215" t="s">
        <v>63</v>
      </c>
      <c r="B215">
        <f>GETPIVOTDATA("Entries",ManyRow!A1,"Product","A")</f>
        <v>7</v>
      </c>
    </row>
    <row r="216" spans="1:2" x14ac:dyDescent="0.35">
      <c r="A216" t="s">
        <v>63</v>
      </c>
      <c r="B216">
        <f>GETPIVOTDATA("Entries",ManyRow!A1,"Region","North","Product","A")</f>
        <v>3</v>
      </c>
    </row>
    <row r="217" spans="1:2" x14ac:dyDescent="0.35">
      <c r="A217" t="s">
        <v>63</v>
      </c>
      <c r="B217" t="e">
        <f>GETPIVOTDATA("Entries",ManyRow!A1,"City","East","Product","A")</f>
        <v>#REF!</v>
      </c>
    </row>
    <row r="218" spans="1:2" x14ac:dyDescent="0.35">
      <c r="A218" t="s">
        <v>63</v>
      </c>
      <c r="B218">
        <f>GETPIVOTDATA("Entries",ManyRow!A1,"Region","North","City","East","Product","A")</f>
        <v>2</v>
      </c>
    </row>
    <row r="219" spans="1:2" x14ac:dyDescent="0.35">
      <c r="A219" t="s">
        <v>63</v>
      </c>
      <c r="B219" t="e">
        <f>GETPIVOTDATA("Entries",ManyRow!A1,"Channel","Retail")</f>
        <v>#REF!</v>
      </c>
    </row>
    <row r="220" spans="1:2" x14ac:dyDescent="0.35">
      <c r="A220" t="s">
        <v>63</v>
      </c>
      <c r="B220" t="e">
        <f>GETPIVOTDATA("Entries",ManyRow!A1,"Region","North","Channel","Retail")</f>
        <v>#REF!</v>
      </c>
    </row>
    <row r="221" spans="1:2" x14ac:dyDescent="0.35">
      <c r="A221" t="s">
        <v>63</v>
      </c>
      <c r="B221" t="e">
        <f>GETPIVOTDATA("Entries",ManyRow!A1,"City","East","Channel","Retail")</f>
        <v>#REF!</v>
      </c>
    </row>
    <row r="222" spans="1:2" x14ac:dyDescent="0.35">
      <c r="A222" t="s">
        <v>63</v>
      </c>
      <c r="B222" t="e">
        <f>GETPIVOTDATA("Entries",ManyRow!A1,"Region","North","City","East","Channel","Retail")</f>
        <v>#REF!</v>
      </c>
    </row>
    <row r="223" spans="1:2" x14ac:dyDescent="0.35">
      <c r="A223" t="s">
        <v>63</v>
      </c>
      <c r="B223">
        <f>GETPIVOTDATA("Entries",ManyRow!A1,"Product","A","Channel","Retail")</f>
        <v>4</v>
      </c>
    </row>
    <row r="224" spans="1:2" x14ac:dyDescent="0.35">
      <c r="A224" t="s">
        <v>63</v>
      </c>
      <c r="B224">
        <f>GETPIVOTDATA("Entries",ManyRow!A1,"Region","North","Product","A","Channel","Retail")</f>
        <v>2</v>
      </c>
    </row>
    <row r="225" spans="1:2" x14ac:dyDescent="0.35">
      <c r="A225" t="s">
        <v>63</v>
      </c>
      <c r="B225" t="e">
        <f>GETPIVOTDATA("Entries",ManyRow!A1,"City","East","Product","A","Channel","Retail")</f>
        <v>#REF!</v>
      </c>
    </row>
    <row r="226" spans="1:2" x14ac:dyDescent="0.35">
      <c r="A226" t="s">
        <v>63</v>
      </c>
      <c r="B226">
        <f>GETPIVOTDATA("Entries",ManyRow!A1,"Region","North","City","East","Product","A","Channel","Retail")</f>
        <v>2</v>
      </c>
    </row>
    <row r="227" spans="1:2" x14ac:dyDescent="0.35">
      <c r="A227" t="s">
        <v>63</v>
      </c>
      <c r="B227">
        <f>GETPIVOTDATA("Entries",ManyRow!A1,"City","Unique")</f>
        <v>0</v>
      </c>
    </row>
    <row r="228" spans="1:2" x14ac:dyDescent="0.35">
      <c r="A228" t="s">
        <v>63</v>
      </c>
      <c r="B228">
        <f>GETPIVOTDATA("Entries",ManyRow!A1,"Product","C")</f>
        <v>0</v>
      </c>
    </row>
    <row r="229" spans="1:2" x14ac:dyDescent="0.35">
      <c r="A229" t="s">
        <v>63</v>
      </c>
      <c r="B229">
        <f>GETPIVOTDATA("Entries",ManyRow!A1,"Channel","Direct")</f>
        <v>0</v>
      </c>
    </row>
    <row r="230" spans="1:2" x14ac:dyDescent="0.35">
      <c r="A230" t="s">
        <v>63</v>
      </c>
      <c r="B230" t="e">
        <f>GETPIVOTDATA("Entries",ManyRow!A1,"Region","North","City","missing")</f>
        <v>#REF!</v>
      </c>
    </row>
    <row r="231" spans="1:2" x14ac:dyDescent="0.35">
      <c r="A231" t="s">
        <v>63</v>
      </c>
      <c r="B231">
        <f>GETPIVOTDATA("Entries",ManyRow!A1,"Region","West","City","Unique","Product","C","Channel","Direct")</f>
        <v>0</v>
      </c>
    </row>
    <row r="232" spans="1:2" x14ac:dyDescent="0.35">
      <c r="A232" t="s">
        <v>64</v>
      </c>
      <c r="B232">
        <f>GETPIVOTDATA("Revenue",MiddleCol!A1)</f>
        <v>70</v>
      </c>
    </row>
    <row r="233" spans="1:2" x14ac:dyDescent="0.35">
      <c r="A233" t="s">
        <v>64</v>
      </c>
      <c r="B233">
        <f>GETPIVOTDATA("Revenue",MiddleCol!A1,"Region","North")</f>
        <v>16</v>
      </c>
    </row>
    <row r="234" spans="1:2" x14ac:dyDescent="0.35">
      <c r="A234" t="s">
        <v>64</v>
      </c>
      <c r="B234" t="e">
        <f>GETPIVOTDATA("Revenue",MiddleCol!A1,"City","East")</f>
        <v>#REF!</v>
      </c>
    </row>
    <row r="235" spans="1:2" x14ac:dyDescent="0.35">
      <c r="A235" t="s">
        <v>64</v>
      </c>
      <c r="B235">
        <f>GETPIVOTDATA("Revenue",MiddleCol!A1,"Region","North","City","East")</f>
        <v>11</v>
      </c>
    </row>
    <row r="236" spans="1:2" x14ac:dyDescent="0.35">
      <c r="A236" t="s">
        <v>64</v>
      </c>
      <c r="B236">
        <f>GETPIVOTDATA("Revenue",MiddleCol!A1,"Product","A")</f>
        <v>40</v>
      </c>
    </row>
    <row r="237" spans="1:2" x14ac:dyDescent="0.35">
      <c r="A237" t="s">
        <v>64</v>
      </c>
      <c r="B237">
        <f>GETPIVOTDATA("Revenue",MiddleCol!A1,"Region","North","Product","A")</f>
        <v>13</v>
      </c>
    </row>
    <row r="238" spans="1:2" x14ac:dyDescent="0.35">
      <c r="A238" t="s">
        <v>64</v>
      </c>
      <c r="B238" t="e">
        <f>GETPIVOTDATA("Revenue",MiddleCol!A1,"City","East","Product","A")</f>
        <v>#REF!</v>
      </c>
    </row>
    <row r="239" spans="1:2" x14ac:dyDescent="0.35">
      <c r="A239" t="s">
        <v>64</v>
      </c>
      <c r="B239">
        <f>GETPIVOTDATA("Revenue",MiddleCol!A1,"Region","North","City","East","Product","A")</f>
        <v>13</v>
      </c>
    </row>
    <row r="240" spans="1:2" x14ac:dyDescent="0.35">
      <c r="A240" t="s">
        <v>64</v>
      </c>
      <c r="B240" t="e">
        <f>GETPIVOTDATA("Revenue",MiddleCol!A1,"Channel","Retail")</f>
        <v>#REF!</v>
      </c>
    </row>
    <row r="241" spans="1:2" x14ac:dyDescent="0.35">
      <c r="A241" t="s">
        <v>64</v>
      </c>
      <c r="B241" t="e">
        <f>GETPIVOTDATA("Revenue",MiddleCol!A1,"Region","North","Channel","Retail")</f>
        <v>#REF!</v>
      </c>
    </row>
    <row r="242" spans="1:2" x14ac:dyDescent="0.35">
      <c r="A242" t="s">
        <v>64</v>
      </c>
      <c r="B242" t="e">
        <f>GETPIVOTDATA("Revenue",MiddleCol!A1,"City","East","Channel","Retail")</f>
        <v>#REF!</v>
      </c>
    </row>
    <row r="243" spans="1:2" x14ac:dyDescent="0.35">
      <c r="A243" t="s">
        <v>64</v>
      </c>
      <c r="B243" t="e">
        <f>GETPIVOTDATA("Revenue",MiddleCol!A1,"Region","North","City","East","Channel","Retail")</f>
        <v>#REF!</v>
      </c>
    </row>
    <row r="244" spans="1:2" x14ac:dyDescent="0.35">
      <c r="A244" t="s">
        <v>64</v>
      </c>
      <c r="B244">
        <f>GETPIVOTDATA("Revenue",MiddleCol!A1,"Product","A","Channel","Retail")</f>
        <v>17</v>
      </c>
    </row>
    <row r="245" spans="1:2" x14ac:dyDescent="0.35">
      <c r="A245" t="s">
        <v>64</v>
      </c>
      <c r="B245">
        <f>GETPIVOTDATA("Revenue",MiddleCol!A1,"Region","North","Product","A","Channel","Retail")</f>
        <v>13</v>
      </c>
    </row>
    <row r="246" spans="1:2" x14ac:dyDescent="0.35">
      <c r="A246" t="s">
        <v>64</v>
      </c>
      <c r="B246" t="e">
        <f>GETPIVOTDATA("Revenue",MiddleCol!A1,"City","East","Product","A","Channel","Retail")</f>
        <v>#REF!</v>
      </c>
    </row>
    <row r="247" spans="1:2" x14ac:dyDescent="0.35">
      <c r="A247" t="s">
        <v>64</v>
      </c>
      <c r="B247">
        <f>GETPIVOTDATA("Revenue",MiddleCol!A1,"Region","North","City","East","Product","A","Channel","Retail")</f>
        <v>13</v>
      </c>
    </row>
    <row r="248" spans="1:2" x14ac:dyDescent="0.35">
      <c r="A248" t="s">
        <v>64</v>
      </c>
      <c r="B248">
        <f>GETPIVOTDATA("Revenue",MiddleCol!A1,"City","Unique")</f>
        <v>0</v>
      </c>
    </row>
    <row r="249" spans="1:2" x14ac:dyDescent="0.35">
      <c r="A249" t="s">
        <v>64</v>
      </c>
      <c r="B249">
        <f>GETPIVOTDATA("Revenue",MiddleCol!A1,"Product","C")</f>
        <v>0</v>
      </c>
    </row>
    <row r="250" spans="1:2" x14ac:dyDescent="0.35">
      <c r="A250" t="s">
        <v>64</v>
      </c>
      <c r="B250">
        <f>GETPIVOTDATA("Revenue",MiddleCol!A1,"Channel","Direct")</f>
        <v>0</v>
      </c>
    </row>
    <row r="251" spans="1:2" x14ac:dyDescent="0.35">
      <c r="A251" t="s">
        <v>64</v>
      </c>
      <c r="B251" t="e">
        <f>GETPIVOTDATA("Revenue",MiddleCol!A1,"Region","North","City","missing")</f>
        <v>#REF!</v>
      </c>
    </row>
    <row r="252" spans="1:2" x14ac:dyDescent="0.35">
      <c r="A252" t="s">
        <v>64</v>
      </c>
      <c r="B252">
        <f>GETPIVOTDATA("Revenue",MiddleCol!A1,"Region","West","City","Unique","Product","C","Channel","Direct")</f>
        <v>0</v>
      </c>
    </row>
    <row r="253" spans="1:2" x14ac:dyDescent="0.35">
      <c r="A253" t="s">
        <v>64</v>
      </c>
      <c r="B253">
        <f>GETPIVOTDATA("AvgUnits",MiddleCol!A1)</f>
        <v>2.6666666666666665</v>
      </c>
    </row>
    <row r="254" spans="1:2" x14ac:dyDescent="0.35">
      <c r="A254" t="s">
        <v>64</v>
      </c>
      <c r="B254">
        <f>GETPIVOTDATA("AvgUnits",MiddleCol!A1,"Region","North")</f>
        <v>2.2000000000000002</v>
      </c>
    </row>
    <row r="255" spans="1:2" x14ac:dyDescent="0.35">
      <c r="A255" t="s">
        <v>64</v>
      </c>
      <c r="B255" t="e">
        <f>GETPIVOTDATA("AvgUnits",MiddleCol!A1,"City","East")</f>
        <v>#REF!</v>
      </c>
    </row>
    <row r="256" spans="1:2" x14ac:dyDescent="0.35">
      <c r="A256" t="s">
        <v>64</v>
      </c>
      <c r="B256">
        <f>GETPIVOTDATA("AvgUnits",MiddleCol!A1,"Region","North","City","East")</f>
        <v>3</v>
      </c>
    </row>
    <row r="257" spans="1:2" x14ac:dyDescent="0.35">
      <c r="A257" t="s">
        <v>64</v>
      </c>
      <c r="B257">
        <f>GETPIVOTDATA("AvgUnits",MiddleCol!A1,"Product","A")</f>
        <v>2.7142857142857144</v>
      </c>
    </row>
    <row r="258" spans="1:2" x14ac:dyDescent="0.35">
      <c r="A258" t="s">
        <v>64</v>
      </c>
      <c r="B258">
        <f>GETPIVOTDATA("AvgUnits",MiddleCol!A1,"Region","North","Product","A")</f>
        <v>3</v>
      </c>
    </row>
    <row r="259" spans="1:2" x14ac:dyDescent="0.35">
      <c r="A259" t="s">
        <v>64</v>
      </c>
      <c r="B259" t="e">
        <f>GETPIVOTDATA("AvgUnits",MiddleCol!A1,"City","East","Product","A")</f>
        <v>#REF!</v>
      </c>
    </row>
    <row r="260" spans="1:2" x14ac:dyDescent="0.35">
      <c r="A260" t="s">
        <v>64</v>
      </c>
      <c r="B260">
        <f>GETPIVOTDATA("AvgUnits",MiddleCol!A1,"Region","North","City","East","Product","A")</f>
        <v>4</v>
      </c>
    </row>
    <row r="261" spans="1:2" x14ac:dyDescent="0.35">
      <c r="A261" t="s">
        <v>64</v>
      </c>
      <c r="B261" t="e">
        <f>GETPIVOTDATA("AvgUnits",MiddleCol!A1,"Channel","Retail")</f>
        <v>#REF!</v>
      </c>
    </row>
    <row r="262" spans="1:2" x14ac:dyDescent="0.35">
      <c r="A262" t="s">
        <v>64</v>
      </c>
      <c r="B262" t="e">
        <f>GETPIVOTDATA("AvgUnits",MiddleCol!A1,"Region","North","Channel","Retail")</f>
        <v>#REF!</v>
      </c>
    </row>
    <row r="263" spans="1:2" x14ac:dyDescent="0.35">
      <c r="A263" t="s">
        <v>64</v>
      </c>
      <c r="B263" t="e">
        <f>GETPIVOTDATA("AvgUnits",MiddleCol!A1,"City","East","Channel","Retail")</f>
        <v>#REF!</v>
      </c>
    </row>
    <row r="264" spans="1:2" x14ac:dyDescent="0.35">
      <c r="A264" t="s">
        <v>64</v>
      </c>
      <c r="B264" t="e">
        <f>GETPIVOTDATA("AvgUnits",MiddleCol!A1,"Region","North","City","East","Channel","Retail")</f>
        <v>#REF!</v>
      </c>
    </row>
    <row r="265" spans="1:2" x14ac:dyDescent="0.35">
      <c r="A265" t="s">
        <v>64</v>
      </c>
      <c r="B265">
        <f>GETPIVOTDATA("AvgUnits",MiddleCol!A1,"Product","A","Channel","Retail")</f>
        <v>3</v>
      </c>
    </row>
    <row r="266" spans="1:2" x14ac:dyDescent="0.35">
      <c r="A266" t="s">
        <v>64</v>
      </c>
      <c r="B266">
        <f>GETPIVOTDATA("AvgUnits",MiddleCol!A1,"Region","North","Product","A","Channel","Retail")</f>
        <v>4</v>
      </c>
    </row>
    <row r="267" spans="1:2" x14ac:dyDescent="0.35">
      <c r="A267" t="s">
        <v>64</v>
      </c>
      <c r="B267" t="e">
        <f>GETPIVOTDATA("AvgUnits",MiddleCol!A1,"City","East","Product","A","Channel","Retail")</f>
        <v>#REF!</v>
      </c>
    </row>
    <row r="268" spans="1:2" x14ac:dyDescent="0.35">
      <c r="A268" t="s">
        <v>64</v>
      </c>
      <c r="B268">
        <f>GETPIVOTDATA("AvgUnits",MiddleCol!A1,"Region","North","City","East","Product","A","Channel","Retail")</f>
        <v>4</v>
      </c>
    </row>
    <row r="269" spans="1:2" x14ac:dyDescent="0.35">
      <c r="A269" t="s">
        <v>64</v>
      </c>
      <c r="B269">
        <f>GETPIVOTDATA("AvgUnits",MiddleCol!A1,"City","Unique")</f>
        <v>5</v>
      </c>
    </row>
    <row r="270" spans="1:2" x14ac:dyDescent="0.35">
      <c r="A270" t="s">
        <v>64</v>
      </c>
      <c r="B270">
        <f>GETPIVOTDATA("AvgUnits",MiddleCol!A1,"Product","C")</f>
        <v>5</v>
      </c>
    </row>
    <row r="271" spans="1:2" x14ac:dyDescent="0.35">
      <c r="A271" t="s">
        <v>64</v>
      </c>
      <c r="B271">
        <f>GETPIVOTDATA("AvgUnits",MiddleCol!A1,"Channel","Direct")</f>
        <v>5</v>
      </c>
    </row>
    <row r="272" spans="1:2" x14ac:dyDescent="0.35">
      <c r="A272" t="s">
        <v>64</v>
      </c>
      <c r="B272" t="e">
        <f>GETPIVOTDATA("AvgUnits",MiddleCol!A1,"Region","North","City","missing")</f>
        <v>#REF!</v>
      </c>
    </row>
    <row r="273" spans="1:2" x14ac:dyDescent="0.35">
      <c r="A273" t="s">
        <v>64</v>
      </c>
      <c r="B273">
        <f>GETPIVOTDATA("AvgUnits",MiddleCol!A1,"Region","West","City","Unique","Product","C","Channel","Direct")</f>
        <v>5</v>
      </c>
    </row>
    <row r="274" spans="1:2" x14ac:dyDescent="0.35">
      <c r="A274" t="s">
        <v>64</v>
      </c>
      <c r="B274">
        <f>GETPIVOTDATA("Entries",MiddleCol!A1)</f>
        <v>11</v>
      </c>
    </row>
    <row r="275" spans="1:2" x14ac:dyDescent="0.35">
      <c r="A275" t="s">
        <v>64</v>
      </c>
      <c r="B275">
        <f>GETPIVOTDATA("Entries",MiddleCol!A1,"Region","North")</f>
        <v>5</v>
      </c>
    </row>
    <row r="276" spans="1:2" x14ac:dyDescent="0.35">
      <c r="A276" t="s">
        <v>64</v>
      </c>
      <c r="B276" t="e">
        <f>GETPIVOTDATA("Entries",MiddleCol!A1,"City","East")</f>
        <v>#REF!</v>
      </c>
    </row>
    <row r="277" spans="1:2" x14ac:dyDescent="0.35">
      <c r="A277" t="s">
        <v>64</v>
      </c>
      <c r="B277">
        <f>GETPIVOTDATA("Entries",MiddleCol!A1,"Region","North","City","East")</f>
        <v>3</v>
      </c>
    </row>
    <row r="278" spans="1:2" x14ac:dyDescent="0.35">
      <c r="A278" t="s">
        <v>64</v>
      </c>
      <c r="B278">
        <f>GETPIVOTDATA("Entries",MiddleCol!A1,"Product","A")</f>
        <v>7</v>
      </c>
    </row>
    <row r="279" spans="1:2" x14ac:dyDescent="0.35">
      <c r="A279" t="s">
        <v>64</v>
      </c>
      <c r="B279">
        <f>GETPIVOTDATA("Entries",MiddleCol!A1,"Region","North","Product","A")</f>
        <v>3</v>
      </c>
    </row>
    <row r="280" spans="1:2" x14ac:dyDescent="0.35">
      <c r="A280" t="s">
        <v>64</v>
      </c>
      <c r="B280" t="e">
        <f>GETPIVOTDATA("Entries",MiddleCol!A1,"City","East","Product","A")</f>
        <v>#REF!</v>
      </c>
    </row>
    <row r="281" spans="1:2" x14ac:dyDescent="0.35">
      <c r="A281" t="s">
        <v>64</v>
      </c>
      <c r="B281">
        <f>GETPIVOTDATA("Entries",MiddleCol!A1,"Region","North","City","East","Product","A")</f>
        <v>2</v>
      </c>
    </row>
    <row r="282" spans="1:2" x14ac:dyDescent="0.35">
      <c r="A282" t="s">
        <v>64</v>
      </c>
      <c r="B282" t="e">
        <f>GETPIVOTDATA("Entries",MiddleCol!A1,"Channel","Retail")</f>
        <v>#REF!</v>
      </c>
    </row>
    <row r="283" spans="1:2" x14ac:dyDescent="0.35">
      <c r="A283" t="s">
        <v>64</v>
      </c>
      <c r="B283" t="e">
        <f>GETPIVOTDATA("Entries",MiddleCol!A1,"Region","North","Channel","Retail")</f>
        <v>#REF!</v>
      </c>
    </row>
    <row r="284" spans="1:2" x14ac:dyDescent="0.35">
      <c r="A284" t="s">
        <v>64</v>
      </c>
      <c r="B284" t="e">
        <f>GETPIVOTDATA("Entries",MiddleCol!A1,"City","East","Channel","Retail")</f>
        <v>#REF!</v>
      </c>
    </row>
    <row r="285" spans="1:2" x14ac:dyDescent="0.35">
      <c r="A285" t="s">
        <v>64</v>
      </c>
      <c r="B285" t="e">
        <f>GETPIVOTDATA("Entries",MiddleCol!A1,"Region","North","City","East","Channel","Retail")</f>
        <v>#REF!</v>
      </c>
    </row>
    <row r="286" spans="1:2" x14ac:dyDescent="0.35">
      <c r="A286" t="s">
        <v>64</v>
      </c>
      <c r="B286">
        <f>GETPIVOTDATA("Entries",MiddleCol!A1,"Product","A","Channel","Retail")</f>
        <v>4</v>
      </c>
    </row>
    <row r="287" spans="1:2" x14ac:dyDescent="0.35">
      <c r="A287" t="s">
        <v>64</v>
      </c>
      <c r="B287">
        <f>GETPIVOTDATA("Entries",MiddleCol!A1,"Region","North","Product","A","Channel","Retail")</f>
        <v>2</v>
      </c>
    </row>
    <row r="288" spans="1:2" x14ac:dyDescent="0.35">
      <c r="A288" t="s">
        <v>64</v>
      </c>
      <c r="B288" t="e">
        <f>GETPIVOTDATA("Entries",MiddleCol!A1,"City","East","Product","A","Channel","Retail")</f>
        <v>#REF!</v>
      </c>
    </row>
    <row r="289" spans="1:2" x14ac:dyDescent="0.35">
      <c r="A289" t="s">
        <v>64</v>
      </c>
      <c r="B289">
        <f>GETPIVOTDATA("Entries",MiddleCol!A1,"Region","North","City","East","Product","A","Channel","Retail")</f>
        <v>2</v>
      </c>
    </row>
    <row r="290" spans="1:2" x14ac:dyDescent="0.35">
      <c r="A290" t="s">
        <v>64</v>
      </c>
      <c r="B290">
        <f>GETPIVOTDATA("Entries",MiddleCol!A1,"City","Unique")</f>
        <v>0</v>
      </c>
    </row>
    <row r="291" spans="1:2" x14ac:dyDescent="0.35">
      <c r="A291" t="s">
        <v>64</v>
      </c>
      <c r="B291">
        <f>GETPIVOTDATA("Entries",MiddleCol!A1,"Product","C")</f>
        <v>0</v>
      </c>
    </row>
    <row r="292" spans="1:2" x14ac:dyDescent="0.35">
      <c r="A292" t="s">
        <v>64</v>
      </c>
      <c r="B292">
        <f>GETPIVOTDATA("Entries",MiddleCol!A1,"Channel","Direct")</f>
        <v>0</v>
      </c>
    </row>
    <row r="293" spans="1:2" x14ac:dyDescent="0.35">
      <c r="A293" t="s">
        <v>64</v>
      </c>
      <c r="B293" t="e">
        <f>GETPIVOTDATA("Entries",MiddleCol!A1,"Region","North","City","missing")</f>
        <v>#REF!</v>
      </c>
    </row>
    <row r="294" spans="1:2" x14ac:dyDescent="0.35">
      <c r="A294" t="s">
        <v>64</v>
      </c>
      <c r="B294">
        <f>GETPIVOTDATA("Entries",MiddleCol!A1,"Region","West","City","Unique","Product","C","Channel","Direct")</f>
        <v>0</v>
      </c>
    </row>
    <row r="295" spans="1:2" x14ac:dyDescent="0.35">
      <c r="A295" t="s">
        <v>65</v>
      </c>
      <c r="B295">
        <f>GETPIVOTDATA("Revenue",MiddleRow!A1)</f>
        <v>70</v>
      </c>
    </row>
    <row r="296" spans="1:2" x14ac:dyDescent="0.35">
      <c r="A296" t="s">
        <v>65</v>
      </c>
      <c r="B296">
        <f>GETPIVOTDATA("Revenue",MiddleRow!A1,"Region","North")</f>
        <v>16</v>
      </c>
    </row>
    <row r="297" spans="1:2" x14ac:dyDescent="0.35">
      <c r="A297" t="s">
        <v>65</v>
      </c>
      <c r="B297" t="e">
        <f>GETPIVOTDATA("Revenue",MiddleRow!A1,"City","East")</f>
        <v>#REF!</v>
      </c>
    </row>
    <row r="298" spans="1:2" x14ac:dyDescent="0.35">
      <c r="A298" t="s">
        <v>65</v>
      </c>
      <c r="B298">
        <f>GETPIVOTDATA("Revenue",MiddleRow!A1,"Region","North","City","East")</f>
        <v>11</v>
      </c>
    </row>
    <row r="299" spans="1:2" x14ac:dyDescent="0.35">
      <c r="A299" t="s">
        <v>65</v>
      </c>
      <c r="B299">
        <f>GETPIVOTDATA("Revenue",MiddleRow!A1,"Product","A")</f>
        <v>40</v>
      </c>
    </row>
    <row r="300" spans="1:2" x14ac:dyDescent="0.35">
      <c r="A300" t="s">
        <v>65</v>
      </c>
      <c r="B300">
        <f>GETPIVOTDATA("Revenue",MiddleRow!A1,"Region","North","Product","A")</f>
        <v>13</v>
      </c>
    </row>
    <row r="301" spans="1:2" x14ac:dyDescent="0.35">
      <c r="A301" t="s">
        <v>65</v>
      </c>
      <c r="B301" t="e">
        <f>GETPIVOTDATA("Revenue",MiddleRow!A1,"City","East","Product","A")</f>
        <v>#REF!</v>
      </c>
    </row>
    <row r="302" spans="1:2" x14ac:dyDescent="0.35">
      <c r="A302" t="s">
        <v>65</v>
      </c>
      <c r="B302">
        <f>GETPIVOTDATA("Revenue",MiddleRow!A1,"Region","North","City","East","Product","A")</f>
        <v>13</v>
      </c>
    </row>
    <row r="303" spans="1:2" x14ac:dyDescent="0.35">
      <c r="A303" t="s">
        <v>65</v>
      </c>
      <c r="B303" t="e">
        <f>GETPIVOTDATA("Revenue",MiddleRow!A1,"Channel","Retail")</f>
        <v>#REF!</v>
      </c>
    </row>
    <row r="304" spans="1:2" x14ac:dyDescent="0.35">
      <c r="A304" t="s">
        <v>65</v>
      </c>
      <c r="B304" t="e">
        <f>GETPIVOTDATA("Revenue",MiddleRow!A1,"Region","North","Channel","Retail")</f>
        <v>#REF!</v>
      </c>
    </row>
    <row r="305" spans="1:2" x14ac:dyDescent="0.35">
      <c r="A305" t="s">
        <v>65</v>
      </c>
      <c r="B305" t="e">
        <f>GETPIVOTDATA("Revenue",MiddleRow!A1,"City","East","Channel","Retail")</f>
        <v>#REF!</v>
      </c>
    </row>
    <row r="306" spans="1:2" x14ac:dyDescent="0.35">
      <c r="A306" t="s">
        <v>65</v>
      </c>
      <c r="B306" t="e">
        <f>GETPIVOTDATA("Revenue",MiddleRow!A1,"Region","North","City","East","Channel","Retail")</f>
        <v>#REF!</v>
      </c>
    </row>
    <row r="307" spans="1:2" x14ac:dyDescent="0.35">
      <c r="A307" t="s">
        <v>65</v>
      </c>
      <c r="B307">
        <f>GETPIVOTDATA("Revenue",MiddleRow!A1,"Product","A","Channel","Retail")</f>
        <v>17</v>
      </c>
    </row>
    <row r="308" spans="1:2" x14ac:dyDescent="0.35">
      <c r="A308" t="s">
        <v>65</v>
      </c>
      <c r="B308">
        <f>GETPIVOTDATA("Revenue",MiddleRow!A1,"Region","North","Product","A","Channel","Retail")</f>
        <v>13</v>
      </c>
    </row>
    <row r="309" spans="1:2" x14ac:dyDescent="0.35">
      <c r="A309" t="s">
        <v>65</v>
      </c>
      <c r="B309" t="e">
        <f>GETPIVOTDATA("Revenue",MiddleRow!A1,"City","East","Product","A","Channel","Retail")</f>
        <v>#REF!</v>
      </c>
    </row>
    <row r="310" spans="1:2" x14ac:dyDescent="0.35">
      <c r="A310" t="s">
        <v>65</v>
      </c>
      <c r="B310">
        <f>GETPIVOTDATA("Revenue",MiddleRow!A1,"Region","North","City","East","Product","A","Channel","Retail")</f>
        <v>13</v>
      </c>
    </row>
    <row r="311" spans="1:2" x14ac:dyDescent="0.35">
      <c r="A311" t="s">
        <v>65</v>
      </c>
      <c r="B311">
        <f>GETPIVOTDATA("Revenue",MiddleRow!A1,"City","Unique")</f>
        <v>0</v>
      </c>
    </row>
    <row r="312" spans="1:2" x14ac:dyDescent="0.35">
      <c r="A312" t="s">
        <v>65</v>
      </c>
      <c r="B312">
        <f>GETPIVOTDATA("Revenue",MiddleRow!A1,"Product","C")</f>
        <v>0</v>
      </c>
    </row>
    <row r="313" spans="1:2" x14ac:dyDescent="0.35">
      <c r="A313" t="s">
        <v>65</v>
      </c>
      <c r="B313">
        <f>GETPIVOTDATA("Revenue",MiddleRow!A1,"Channel","Direct")</f>
        <v>0</v>
      </c>
    </row>
    <row r="314" spans="1:2" x14ac:dyDescent="0.35">
      <c r="A314" t="s">
        <v>65</v>
      </c>
      <c r="B314" t="e">
        <f>GETPIVOTDATA("Revenue",MiddleRow!A1,"Region","North","City","missing")</f>
        <v>#REF!</v>
      </c>
    </row>
    <row r="315" spans="1:2" x14ac:dyDescent="0.35">
      <c r="A315" t="s">
        <v>65</v>
      </c>
      <c r="B315">
        <f>GETPIVOTDATA("Revenue",MiddleRow!A1,"Region","West","City","Unique","Product","C","Channel","Direct")</f>
        <v>0</v>
      </c>
    </row>
    <row r="316" spans="1:2" x14ac:dyDescent="0.35">
      <c r="A316" t="s">
        <v>65</v>
      </c>
      <c r="B316">
        <f>GETPIVOTDATA("AvgUnits",MiddleRow!A1)</f>
        <v>2.6666666666666665</v>
      </c>
    </row>
    <row r="317" spans="1:2" x14ac:dyDescent="0.35">
      <c r="A317" t="s">
        <v>65</v>
      </c>
      <c r="B317">
        <f>GETPIVOTDATA("AvgUnits",MiddleRow!A1,"Region","North")</f>
        <v>2.2000000000000002</v>
      </c>
    </row>
    <row r="318" spans="1:2" x14ac:dyDescent="0.35">
      <c r="A318" t="s">
        <v>65</v>
      </c>
      <c r="B318" t="e">
        <f>GETPIVOTDATA("AvgUnits",MiddleRow!A1,"City","East")</f>
        <v>#REF!</v>
      </c>
    </row>
    <row r="319" spans="1:2" x14ac:dyDescent="0.35">
      <c r="A319" t="s">
        <v>65</v>
      </c>
      <c r="B319">
        <f>GETPIVOTDATA("AvgUnits",MiddleRow!A1,"Region","North","City","East")</f>
        <v>3</v>
      </c>
    </row>
    <row r="320" spans="1:2" x14ac:dyDescent="0.35">
      <c r="A320" t="s">
        <v>65</v>
      </c>
      <c r="B320">
        <f>GETPIVOTDATA("AvgUnits",MiddleRow!A1,"Product","A")</f>
        <v>2.7142857142857144</v>
      </c>
    </row>
    <row r="321" spans="1:2" x14ac:dyDescent="0.35">
      <c r="A321" t="s">
        <v>65</v>
      </c>
      <c r="B321">
        <f>GETPIVOTDATA("AvgUnits",MiddleRow!A1,"Region","North","Product","A")</f>
        <v>3</v>
      </c>
    </row>
    <row r="322" spans="1:2" x14ac:dyDescent="0.35">
      <c r="A322" t="s">
        <v>65</v>
      </c>
      <c r="B322" t="e">
        <f>GETPIVOTDATA("AvgUnits",MiddleRow!A1,"City","East","Product","A")</f>
        <v>#REF!</v>
      </c>
    </row>
    <row r="323" spans="1:2" x14ac:dyDescent="0.35">
      <c r="A323" t="s">
        <v>65</v>
      </c>
      <c r="B323">
        <f>GETPIVOTDATA("AvgUnits",MiddleRow!A1,"Region","North","City","East","Product","A")</f>
        <v>4</v>
      </c>
    </row>
    <row r="324" spans="1:2" x14ac:dyDescent="0.35">
      <c r="A324" t="s">
        <v>65</v>
      </c>
      <c r="B324" t="e">
        <f>GETPIVOTDATA("AvgUnits",MiddleRow!A1,"Channel","Retail")</f>
        <v>#REF!</v>
      </c>
    </row>
    <row r="325" spans="1:2" x14ac:dyDescent="0.35">
      <c r="A325" t="s">
        <v>65</v>
      </c>
      <c r="B325" t="e">
        <f>GETPIVOTDATA("AvgUnits",MiddleRow!A1,"Region","North","Channel","Retail")</f>
        <v>#REF!</v>
      </c>
    </row>
    <row r="326" spans="1:2" x14ac:dyDescent="0.35">
      <c r="A326" t="s">
        <v>65</v>
      </c>
      <c r="B326" t="e">
        <f>GETPIVOTDATA("AvgUnits",MiddleRow!A1,"City","East","Channel","Retail")</f>
        <v>#REF!</v>
      </c>
    </row>
    <row r="327" spans="1:2" x14ac:dyDescent="0.35">
      <c r="A327" t="s">
        <v>65</v>
      </c>
      <c r="B327" t="e">
        <f>GETPIVOTDATA("AvgUnits",MiddleRow!A1,"Region","North","City","East","Channel","Retail")</f>
        <v>#REF!</v>
      </c>
    </row>
    <row r="328" spans="1:2" x14ac:dyDescent="0.35">
      <c r="A328" t="s">
        <v>65</v>
      </c>
      <c r="B328">
        <f>GETPIVOTDATA("AvgUnits",MiddleRow!A1,"Product","A","Channel","Retail")</f>
        <v>3</v>
      </c>
    </row>
    <row r="329" spans="1:2" x14ac:dyDescent="0.35">
      <c r="A329" t="s">
        <v>65</v>
      </c>
      <c r="B329">
        <f>GETPIVOTDATA("AvgUnits",MiddleRow!A1,"Region","North","Product","A","Channel","Retail")</f>
        <v>4</v>
      </c>
    </row>
    <row r="330" spans="1:2" x14ac:dyDescent="0.35">
      <c r="A330" t="s">
        <v>65</v>
      </c>
      <c r="B330" t="e">
        <f>GETPIVOTDATA("AvgUnits",MiddleRow!A1,"City","East","Product","A","Channel","Retail")</f>
        <v>#REF!</v>
      </c>
    </row>
    <row r="331" spans="1:2" x14ac:dyDescent="0.35">
      <c r="A331" t="s">
        <v>65</v>
      </c>
      <c r="B331">
        <f>GETPIVOTDATA("AvgUnits",MiddleRow!A1,"Region","North","City","East","Product","A","Channel","Retail")</f>
        <v>4</v>
      </c>
    </row>
    <row r="332" spans="1:2" x14ac:dyDescent="0.35">
      <c r="A332" t="s">
        <v>65</v>
      </c>
      <c r="B332">
        <f>GETPIVOTDATA("AvgUnits",MiddleRow!A1,"City","Unique")</f>
        <v>5</v>
      </c>
    </row>
    <row r="333" spans="1:2" x14ac:dyDescent="0.35">
      <c r="A333" t="s">
        <v>65</v>
      </c>
      <c r="B333">
        <f>GETPIVOTDATA("AvgUnits",MiddleRow!A1,"Product","C")</f>
        <v>5</v>
      </c>
    </row>
    <row r="334" spans="1:2" x14ac:dyDescent="0.35">
      <c r="A334" t="s">
        <v>65</v>
      </c>
      <c r="B334">
        <f>GETPIVOTDATA("AvgUnits",MiddleRow!A1,"Channel","Direct")</f>
        <v>5</v>
      </c>
    </row>
    <row r="335" spans="1:2" x14ac:dyDescent="0.35">
      <c r="A335" t="s">
        <v>65</v>
      </c>
      <c r="B335" t="e">
        <f>GETPIVOTDATA("AvgUnits",MiddleRow!A1,"Region","North","City","missing")</f>
        <v>#REF!</v>
      </c>
    </row>
    <row r="336" spans="1:2" x14ac:dyDescent="0.35">
      <c r="A336" t="s">
        <v>65</v>
      </c>
      <c r="B336">
        <f>GETPIVOTDATA("AvgUnits",MiddleRow!A1,"Region","West","City","Unique","Product","C","Channel","Direct")</f>
        <v>5</v>
      </c>
    </row>
    <row r="337" spans="1:2" x14ac:dyDescent="0.35">
      <c r="A337" t="s">
        <v>65</v>
      </c>
      <c r="B337">
        <f>GETPIVOTDATA("Entries",MiddleRow!A1)</f>
        <v>11</v>
      </c>
    </row>
    <row r="338" spans="1:2" x14ac:dyDescent="0.35">
      <c r="A338" t="s">
        <v>65</v>
      </c>
      <c r="B338">
        <f>GETPIVOTDATA("Entries",MiddleRow!A1,"Region","North")</f>
        <v>5</v>
      </c>
    </row>
    <row r="339" spans="1:2" x14ac:dyDescent="0.35">
      <c r="A339" t="s">
        <v>65</v>
      </c>
      <c r="B339" t="e">
        <f>GETPIVOTDATA("Entries",MiddleRow!A1,"City","East")</f>
        <v>#REF!</v>
      </c>
    </row>
    <row r="340" spans="1:2" x14ac:dyDescent="0.35">
      <c r="A340" t="s">
        <v>65</v>
      </c>
      <c r="B340">
        <f>GETPIVOTDATA("Entries",MiddleRow!A1,"Region","North","City","East")</f>
        <v>3</v>
      </c>
    </row>
    <row r="341" spans="1:2" x14ac:dyDescent="0.35">
      <c r="A341" t="s">
        <v>65</v>
      </c>
      <c r="B341">
        <f>GETPIVOTDATA("Entries",MiddleRow!A1,"Product","A")</f>
        <v>7</v>
      </c>
    </row>
    <row r="342" spans="1:2" x14ac:dyDescent="0.35">
      <c r="A342" t="s">
        <v>65</v>
      </c>
      <c r="B342">
        <f>GETPIVOTDATA("Entries",MiddleRow!A1,"Region","North","Product","A")</f>
        <v>3</v>
      </c>
    </row>
    <row r="343" spans="1:2" x14ac:dyDescent="0.35">
      <c r="A343" t="s">
        <v>65</v>
      </c>
      <c r="B343" t="e">
        <f>GETPIVOTDATA("Entries",MiddleRow!A1,"City","East","Product","A")</f>
        <v>#REF!</v>
      </c>
    </row>
    <row r="344" spans="1:2" x14ac:dyDescent="0.35">
      <c r="A344" t="s">
        <v>65</v>
      </c>
      <c r="B344">
        <f>GETPIVOTDATA("Entries",MiddleRow!A1,"Region","North","City","East","Product","A")</f>
        <v>2</v>
      </c>
    </row>
    <row r="345" spans="1:2" x14ac:dyDescent="0.35">
      <c r="A345" t="s">
        <v>65</v>
      </c>
      <c r="B345" t="e">
        <f>GETPIVOTDATA("Entries",MiddleRow!A1,"Channel","Retail")</f>
        <v>#REF!</v>
      </c>
    </row>
    <row r="346" spans="1:2" x14ac:dyDescent="0.35">
      <c r="A346" t="s">
        <v>65</v>
      </c>
      <c r="B346" t="e">
        <f>GETPIVOTDATA("Entries",MiddleRow!A1,"Region","North","Channel","Retail")</f>
        <v>#REF!</v>
      </c>
    </row>
    <row r="347" spans="1:2" x14ac:dyDescent="0.35">
      <c r="A347" t="s">
        <v>65</v>
      </c>
      <c r="B347" t="e">
        <f>GETPIVOTDATA("Entries",MiddleRow!A1,"City","East","Channel","Retail")</f>
        <v>#REF!</v>
      </c>
    </row>
    <row r="348" spans="1:2" x14ac:dyDescent="0.35">
      <c r="A348" t="s">
        <v>65</v>
      </c>
      <c r="B348" t="e">
        <f>GETPIVOTDATA("Entries",MiddleRow!A1,"Region","North","City","East","Channel","Retail")</f>
        <v>#REF!</v>
      </c>
    </row>
    <row r="349" spans="1:2" x14ac:dyDescent="0.35">
      <c r="A349" t="s">
        <v>65</v>
      </c>
      <c r="B349">
        <f>GETPIVOTDATA("Entries",MiddleRow!A1,"Product","A","Channel","Retail")</f>
        <v>4</v>
      </c>
    </row>
    <row r="350" spans="1:2" x14ac:dyDescent="0.35">
      <c r="A350" t="s">
        <v>65</v>
      </c>
      <c r="B350">
        <f>GETPIVOTDATA("Entries",MiddleRow!A1,"Region","North","Product","A","Channel","Retail")</f>
        <v>2</v>
      </c>
    </row>
    <row r="351" spans="1:2" x14ac:dyDescent="0.35">
      <c r="A351" t="s">
        <v>65</v>
      </c>
      <c r="B351" t="e">
        <f>GETPIVOTDATA("Entries",MiddleRow!A1,"City","East","Product","A","Channel","Retail")</f>
        <v>#REF!</v>
      </c>
    </row>
    <row r="352" spans="1:2" x14ac:dyDescent="0.35">
      <c r="A352" t="s">
        <v>65</v>
      </c>
      <c r="B352">
        <f>GETPIVOTDATA("Entries",MiddleRow!A1,"Region","North","City","East","Product","A","Channel","Retail")</f>
        <v>2</v>
      </c>
    </row>
    <row r="353" spans="1:2" x14ac:dyDescent="0.35">
      <c r="A353" t="s">
        <v>65</v>
      </c>
      <c r="B353">
        <f>GETPIVOTDATA("Entries",MiddleRow!A1,"City","Unique")</f>
        <v>0</v>
      </c>
    </row>
    <row r="354" spans="1:2" x14ac:dyDescent="0.35">
      <c r="A354" t="s">
        <v>65</v>
      </c>
      <c r="B354">
        <f>GETPIVOTDATA("Entries",MiddleRow!A1,"Product","C")</f>
        <v>0</v>
      </c>
    </row>
    <row r="355" spans="1:2" x14ac:dyDescent="0.35">
      <c r="A355" t="s">
        <v>65</v>
      </c>
      <c r="B355">
        <f>GETPIVOTDATA("Entries",MiddleRow!A1,"Channel","Direct")</f>
        <v>0</v>
      </c>
    </row>
    <row r="356" spans="1:2" x14ac:dyDescent="0.35">
      <c r="A356" t="s">
        <v>65</v>
      </c>
      <c r="B356" t="e">
        <f>GETPIVOTDATA("Entries",MiddleRow!A1,"Region","North","City","missing")</f>
        <v>#REF!</v>
      </c>
    </row>
    <row r="357" spans="1:2" x14ac:dyDescent="0.35">
      <c r="A357" t="s">
        <v>65</v>
      </c>
      <c r="B357">
        <f>GETPIVOTDATA("Entries",MiddleRow!A1,"Region","West","City","Unique","Product","C","Channel","Direct")</f>
        <v>0</v>
      </c>
    </row>
    <row r="358" spans="1:2" x14ac:dyDescent="0.35">
      <c r="A358" t="s">
        <v>66</v>
      </c>
      <c r="B358">
        <f>GETPIVOTDATA("Revenue",OuterCol!A1)</f>
        <v>70</v>
      </c>
    </row>
    <row r="359" spans="1:2" x14ac:dyDescent="0.35">
      <c r="A359" t="s">
        <v>66</v>
      </c>
      <c r="B359">
        <f>GETPIVOTDATA("Revenue",OuterCol!A1,"Region","North")</f>
        <v>16</v>
      </c>
    </row>
    <row r="360" spans="1:2" x14ac:dyDescent="0.35">
      <c r="A360" t="s">
        <v>66</v>
      </c>
      <c r="B360" t="e">
        <f>GETPIVOTDATA("Revenue",OuterCol!A1,"City","East")</f>
        <v>#REF!</v>
      </c>
    </row>
    <row r="361" spans="1:2" x14ac:dyDescent="0.35">
      <c r="A361" t="s">
        <v>66</v>
      </c>
      <c r="B361">
        <f>GETPIVOTDATA("Revenue",OuterCol!A1,"Region","North","City","East")</f>
        <v>11</v>
      </c>
    </row>
    <row r="362" spans="1:2" x14ac:dyDescent="0.35">
      <c r="A362" t="s">
        <v>66</v>
      </c>
      <c r="B362">
        <f>GETPIVOTDATA("Revenue",OuterCol!A1,"Product","A")</f>
        <v>40</v>
      </c>
    </row>
    <row r="363" spans="1:2" x14ac:dyDescent="0.35">
      <c r="A363" t="s">
        <v>66</v>
      </c>
      <c r="B363">
        <f>GETPIVOTDATA("Revenue",OuterCol!A1,"Region","North","Product","A")</f>
        <v>13</v>
      </c>
    </row>
    <row r="364" spans="1:2" x14ac:dyDescent="0.35">
      <c r="A364" t="s">
        <v>66</v>
      </c>
      <c r="B364" t="e">
        <f>GETPIVOTDATA("Revenue",OuterCol!A1,"City","East","Product","A")</f>
        <v>#REF!</v>
      </c>
    </row>
    <row r="365" spans="1:2" x14ac:dyDescent="0.35">
      <c r="A365" t="s">
        <v>66</v>
      </c>
      <c r="B365">
        <f>GETPIVOTDATA("Revenue",OuterCol!A1,"Region","North","City","East","Product","A")</f>
        <v>13</v>
      </c>
    </row>
    <row r="366" spans="1:2" x14ac:dyDescent="0.35">
      <c r="A366" t="s">
        <v>66</v>
      </c>
      <c r="B366" t="e">
        <f>GETPIVOTDATA("Revenue",OuterCol!A1,"Channel","Retail")</f>
        <v>#REF!</v>
      </c>
    </row>
    <row r="367" spans="1:2" x14ac:dyDescent="0.35">
      <c r="A367" t="s">
        <v>66</v>
      </c>
      <c r="B367" t="e">
        <f>GETPIVOTDATA("Revenue",OuterCol!A1,"Region","North","Channel","Retail")</f>
        <v>#REF!</v>
      </c>
    </row>
    <row r="368" spans="1:2" x14ac:dyDescent="0.35">
      <c r="A368" t="s">
        <v>66</v>
      </c>
      <c r="B368" t="e">
        <f>GETPIVOTDATA("Revenue",OuterCol!A1,"City","East","Channel","Retail")</f>
        <v>#REF!</v>
      </c>
    </row>
    <row r="369" spans="1:2" x14ac:dyDescent="0.35">
      <c r="A369" t="s">
        <v>66</v>
      </c>
      <c r="B369" t="e">
        <f>GETPIVOTDATA("Revenue",OuterCol!A1,"Region","North","City","East","Channel","Retail")</f>
        <v>#REF!</v>
      </c>
    </row>
    <row r="370" spans="1:2" x14ac:dyDescent="0.35">
      <c r="A370" t="s">
        <v>66</v>
      </c>
      <c r="B370">
        <f>GETPIVOTDATA("Revenue",OuterCol!A1,"Product","A","Channel","Retail")</f>
        <v>17</v>
      </c>
    </row>
    <row r="371" spans="1:2" x14ac:dyDescent="0.35">
      <c r="A371" t="s">
        <v>66</v>
      </c>
      <c r="B371">
        <f>GETPIVOTDATA("Revenue",OuterCol!A1,"Region","North","Product","A","Channel","Retail")</f>
        <v>13</v>
      </c>
    </row>
    <row r="372" spans="1:2" x14ac:dyDescent="0.35">
      <c r="A372" t="s">
        <v>66</v>
      </c>
      <c r="B372" t="e">
        <f>GETPIVOTDATA("Revenue",OuterCol!A1,"City","East","Product","A","Channel","Retail")</f>
        <v>#REF!</v>
      </c>
    </row>
    <row r="373" spans="1:2" x14ac:dyDescent="0.35">
      <c r="A373" t="s">
        <v>66</v>
      </c>
      <c r="B373">
        <f>GETPIVOTDATA("Revenue",OuterCol!A1,"Region","North","City","East","Product","A","Channel","Retail")</f>
        <v>13</v>
      </c>
    </row>
    <row r="374" spans="1:2" x14ac:dyDescent="0.35">
      <c r="A374" t="s">
        <v>66</v>
      </c>
      <c r="B374">
        <f>GETPIVOTDATA("Revenue",OuterCol!A1,"City","Unique")</f>
        <v>0</v>
      </c>
    </row>
    <row r="375" spans="1:2" x14ac:dyDescent="0.35">
      <c r="A375" t="s">
        <v>66</v>
      </c>
      <c r="B375">
        <f>GETPIVOTDATA("Revenue",OuterCol!A1,"Product","C")</f>
        <v>0</v>
      </c>
    </row>
    <row r="376" spans="1:2" x14ac:dyDescent="0.35">
      <c r="A376" t="s">
        <v>66</v>
      </c>
      <c r="B376">
        <f>GETPIVOTDATA("Revenue",OuterCol!A1,"Channel","Direct")</f>
        <v>0</v>
      </c>
    </row>
    <row r="377" spans="1:2" x14ac:dyDescent="0.35">
      <c r="A377" t="s">
        <v>66</v>
      </c>
      <c r="B377" t="e">
        <f>GETPIVOTDATA("Revenue",OuterCol!A1,"Region","North","City","missing")</f>
        <v>#REF!</v>
      </c>
    </row>
    <row r="378" spans="1:2" x14ac:dyDescent="0.35">
      <c r="A378" t="s">
        <v>66</v>
      </c>
      <c r="B378">
        <f>GETPIVOTDATA("Revenue",OuterCol!A1,"Region","West","City","Unique","Product","C","Channel","Direct")</f>
        <v>0</v>
      </c>
    </row>
    <row r="379" spans="1:2" x14ac:dyDescent="0.35">
      <c r="A379" t="s">
        <v>66</v>
      </c>
      <c r="B379">
        <f>GETPIVOTDATA("AvgUnits",OuterCol!A1)</f>
        <v>2.6666666666666665</v>
      </c>
    </row>
    <row r="380" spans="1:2" x14ac:dyDescent="0.35">
      <c r="A380" t="s">
        <v>66</v>
      </c>
      <c r="B380">
        <f>GETPIVOTDATA("AvgUnits",OuterCol!A1,"Region","North")</f>
        <v>2.2000000000000002</v>
      </c>
    </row>
    <row r="381" spans="1:2" x14ac:dyDescent="0.35">
      <c r="A381" t="s">
        <v>66</v>
      </c>
      <c r="B381" t="e">
        <f>GETPIVOTDATA("AvgUnits",OuterCol!A1,"City","East")</f>
        <v>#REF!</v>
      </c>
    </row>
    <row r="382" spans="1:2" x14ac:dyDescent="0.35">
      <c r="A382" t="s">
        <v>66</v>
      </c>
      <c r="B382">
        <f>GETPIVOTDATA("AvgUnits",OuterCol!A1,"Region","North","City","East")</f>
        <v>3</v>
      </c>
    </row>
    <row r="383" spans="1:2" x14ac:dyDescent="0.35">
      <c r="A383" t="s">
        <v>66</v>
      </c>
      <c r="B383">
        <f>GETPIVOTDATA("AvgUnits",OuterCol!A1,"Product","A")</f>
        <v>2.7142857142857144</v>
      </c>
    </row>
    <row r="384" spans="1:2" x14ac:dyDescent="0.35">
      <c r="A384" t="s">
        <v>66</v>
      </c>
      <c r="B384">
        <f>GETPIVOTDATA("AvgUnits",OuterCol!A1,"Region","North","Product","A")</f>
        <v>3</v>
      </c>
    </row>
    <row r="385" spans="1:2" x14ac:dyDescent="0.35">
      <c r="A385" t="s">
        <v>66</v>
      </c>
      <c r="B385" t="e">
        <f>GETPIVOTDATA("AvgUnits",OuterCol!A1,"City","East","Product","A")</f>
        <v>#REF!</v>
      </c>
    </row>
    <row r="386" spans="1:2" x14ac:dyDescent="0.35">
      <c r="A386" t="s">
        <v>66</v>
      </c>
      <c r="B386">
        <f>GETPIVOTDATA("AvgUnits",OuterCol!A1,"Region","North","City","East","Product","A")</f>
        <v>4</v>
      </c>
    </row>
    <row r="387" spans="1:2" x14ac:dyDescent="0.35">
      <c r="A387" t="s">
        <v>66</v>
      </c>
      <c r="B387" t="e">
        <f>GETPIVOTDATA("AvgUnits",OuterCol!A1,"Channel","Retail")</f>
        <v>#REF!</v>
      </c>
    </row>
    <row r="388" spans="1:2" x14ac:dyDescent="0.35">
      <c r="A388" t="s">
        <v>66</v>
      </c>
      <c r="B388" t="e">
        <f>GETPIVOTDATA("AvgUnits",OuterCol!A1,"Region","North","Channel","Retail")</f>
        <v>#REF!</v>
      </c>
    </row>
    <row r="389" spans="1:2" x14ac:dyDescent="0.35">
      <c r="A389" t="s">
        <v>66</v>
      </c>
      <c r="B389" t="e">
        <f>GETPIVOTDATA("AvgUnits",OuterCol!A1,"City","East","Channel","Retail")</f>
        <v>#REF!</v>
      </c>
    </row>
    <row r="390" spans="1:2" x14ac:dyDescent="0.35">
      <c r="A390" t="s">
        <v>66</v>
      </c>
      <c r="B390" t="e">
        <f>GETPIVOTDATA("AvgUnits",OuterCol!A1,"Region","North","City","East","Channel","Retail")</f>
        <v>#REF!</v>
      </c>
    </row>
    <row r="391" spans="1:2" x14ac:dyDescent="0.35">
      <c r="A391" t="s">
        <v>66</v>
      </c>
      <c r="B391">
        <f>GETPIVOTDATA("AvgUnits",OuterCol!A1,"Product","A","Channel","Retail")</f>
        <v>3</v>
      </c>
    </row>
    <row r="392" spans="1:2" x14ac:dyDescent="0.35">
      <c r="A392" t="s">
        <v>66</v>
      </c>
      <c r="B392">
        <f>GETPIVOTDATA("AvgUnits",OuterCol!A1,"Region","North","Product","A","Channel","Retail")</f>
        <v>4</v>
      </c>
    </row>
    <row r="393" spans="1:2" x14ac:dyDescent="0.35">
      <c r="A393" t="s">
        <v>66</v>
      </c>
      <c r="B393" t="e">
        <f>GETPIVOTDATA("AvgUnits",OuterCol!A1,"City","East","Product","A","Channel","Retail")</f>
        <v>#REF!</v>
      </c>
    </row>
    <row r="394" spans="1:2" x14ac:dyDescent="0.35">
      <c r="A394" t="s">
        <v>66</v>
      </c>
      <c r="B394">
        <f>GETPIVOTDATA("AvgUnits",OuterCol!A1,"Region","North","City","East","Product","A","Channel","Retail")</f>
        <v>4</v>
      </c>
    </row>
    <row r="395" spans="1:2" x14ac:dyDescent="0.35">
      <c r="A395" t="s">
        <v>66</v>
      </c>
      <c r="B395">
        <f>GETPIVOTDATA("AvgUnits",OuterCol!A1,"City","Unique")</f>
        <v>5</v>
      </c>
    </row>
    <row r="396" spans="1:2" x14ac:dyDescent="0.35">
      <c r="A396" t="s">
        <v>66</v>
      </c>
      <c r="B396">
        <f>GETPIVOTDATA("AvgUnits",OuterCol!A1,"Product","C")</f>
        <v>5</v>
      </c>
    </row>
    <row r="397" spans="1:2" x14ac:dyDescent="0.35">
      <c r="A397" t="s">
        <v>66</v>
      </c>
      <c r="B397">
        <f>GETPIVOTDATA("AvgUnits",OuterCol!A1,"Channel","Direct")</f>
        <v>5</v>
      </c>
    </row>
    <row r="398" spans="1:2" x14ac:dyDescent="0.35">
      <c r="A398" t="s">
        <v>66</v>
      </c>
      <c r="B398" t="e">
        <f>GETPIVOTDATA("AvgUnits",OuterCol!A1,"Region","North","City","missing")</f>
        <v>#REF!</v>
      </c>
    </row>
    <row r="399" spans="1:2" x14ac:dyDescent="0.35">
      <c r="A399" t="s">
        <v>66</v>
      </c>
      <c r="B399">
        <f>GETPIVOTDATA("AvgUnits",OuterCol!A1,"Region","West","City","Unique","Product","C","Channel","Direct")</f>
        <v>5</v>
      </c>
    </row>
    <row r="400" spans="1:2" x14ac:dyDescent="0.35">
      <c r="A400" t="s">
        <v>66</v>
      </c>
      <c r="B400">
        <f>GETPIVOTDATA("Entries",OuterCol!A1)</f>
        <v>11</v>
      </c>
    </row>
    <row r="401" spans="1:2" x14ac:dyDescent="0.35">
      <c r="A401" t="s">
        <v>66</v>
      </c>
      <c r="B401">
        <f>GETPIVOTDATA("Entries",OuterCol!A1,"Region","North")</f>
        <v>5</v>
      </c>
    </row>
    <row r="402" spans="1:2" x14ac:dyDescent="0.35">
      <c r="A402" t="s">
        <v>66</v>
      </c>
      <c r="B402" t="e">
        <f>GETPIVOTDATA("Entries",OuterCol!A1,"City","East")</f>
        <v>#REF!</v>
      </c>
    </row>
    <row r="403" spans="1:2" x14ac:dyDescent="0.35">
      <c r="A403" t="s">
        <v>66</v>
      </c>
      <c r="B403">
        <f>GETPIVOTDATA("Entries",OuterCol!A1,"Region","North","City","East")</f>
        <v>3</v>
      </c>
    </row>
    <row r="404" spans="1:2" x14ac:dyDescent="0.35">
      <c r="A404" t="s">
        <v>66</v>
      </c>
      <c r="B404">
        <f>GETPIVOTDATA("Entries",OuterCol!A1,"Product","A")</f>
        <v>7</v>
      </c>
    </row>
    <row r="405" spans="1:2" x14ac:dyDescent="0.35">
      <c r="A405" t="s">
        <v>66</v>
      </c>
      <c r="B405">
        <f>GETPIVOTDATA("Entries",OuterCol!A1,"Region","North","Product","A")</f>
        <v>3</v>
      </c>
    </row>
    <row r="406" spans="1:2" x14ac:dyDescent="0.35">
      <c r="A406" t="s">
        <v>66</v>
      </c>
      <c r="B406" t="e">
        <f>GETPIVOTDATA("Entries",OuterCol!A1,"City","East","Product","A")</f>
        <v>#REF!</v>
      </c>
    </row>
    <row r="407" spans="1:2" x14ac:dyDescent="0.35">
      <c r="A407" t="s">
        <v>66</v>
      </c>
      <c r="B407">
        <f>GETPIVOTDATA("Entries",OuterCol!A1,"Region","North","City","East","Product","A")</f>
        <v>2</v>
      </c>
    </row>
    <row r="408" spans="1:2" x14ac:dyDescent="0.35">
      <c r="A408" t="s">
        <v>66</v>
      </c>
      <c r="B408" t="e">
        <f>GETPIVOTDATA("Entries",OuterCol!A1,"Channel","Retail")</f>
        <v>#REF!</v>
      </c>
    </row>
    <row r="409" spans="1:2" x14ac:dyDescent="0.35">
      <c r="A409" t="s">
        <v>66</v>
      </c>
      <c r="B409" t="e">
        <f>GETPIVOTDATA("Entries",OuterCol!A1,"Region","North","Channel","Retail")</f>
        <v>#REF!</v>
      </c>
    </row>
    <row r="410" spans="1:2" x14ac:dyDescent="0.35">
      <c r="A410" t="s">
        <v>66</v>
      </c>
      <c r="B410" t="e">
        <f>GETPIVOTDATA("Entries",OuterCol!A1,"City","East","Channel","Retail")</f>
        <v>#REF!</v>
      </c>
    </row>
    <row r="411" spans="1:2" x14ac:dyDescent="0.35">
      <c r="A411" t="s">
        <v>66</v>
      </c>
      <c r="B411" t="e">
        <f>GETPIVOTDATA("Entries",OuterCol!A1,"Region","North","City","East","Channel","Retail")</f>
        <v>#REF!</v>
      </c>
    </row>
    <row r="412" spans="1:2" x14ac:dyDescent="0.35">
      <c r="A412" t="s">
        <v>66</v>
      </c>
      <c r="B412">
        <f>GETPIVOTDATA("Entries",OuterCol!A1,"Product","A","Channel","Retail")</f>
        <v>4</v>
      </c>
    </row>
    <row r="413" spans="1:2" x14ac:dyDescent="0.35">
      <c r="A413" t="s">
        <v>66</v>
      </c>
      <c r="B413">
        <f>GETPIVOTDATA("Entries",OuterCol!A1,"Region","North","Product","A","Channel","Retail")</f>
        <v>2</v>
      </c>
    </row>
    <row r="414" spans="1:2" x14ac:dyDescent="0.35">
      <c r="A414" t="s">
        <v>66</v>
      </c>
      <c r="B414" t="e">
        <f>GETPIVOTDATA("Entries",OuterCol!A1,"City","East","Product","A","Channel","Retail")</f>
        <v>#REF!</v>
      </c>
    </row>
    <row r="415" spans="1:2" x14ac:dyDescent="0.35">
      <c r="A415" t="s">
        <v>66</v>
      </c>
      <c r="B415">
        <f>GETPIVOTDATA("Entries",OuterCol!A1,"Region","North","City","East","Product","A","Channel","Retail")</f>
        <v>2</v>
      </c>
    </row>
    <row r="416" spans="1:2" x14ac:dyDescent="0.35">
      <c r="A416" t="s">
        <v>66</v>
      </c>
      <c r="B416">
        <f>GETPIVOTDATA("Entries",OuterCol!A1,"City","Unique")</f>
        <v>0</v>
      </c>
    </row>
    <row r="417" spans="1:2" x14ac:dyDescent="0.35">
      <c r="A417" t="s">
        <v>66</v>
      </c>
      <c r="B417">
        <f>GETPIVOTDATA("Entries",OuterCol!A1,"Product","C")</f>
        <v>0</v>
      </c>
    </row>
    <row r="418" spans="1:2" x14ac:dyDescent="0.35">
      <c r="A418" t="s">
        <v>66</v>
      </c>
      <c r="B418">
        <f>GETPIVOTDATA("Entries",OuterCol!A1,"Channel","Direct")</f>
        <v>0</v>
      </c>
    </row>
    <row r="419" spans="1:2" x14ac:dyDescent="0.35">
      <c r="A419" t="s">
        <v>66</v>
      </c>
      <c r="B419" t="e">
        <f>GETPIVOTDATA("Entries",OuterCol!A1,"Region","North","City","missing")</f>
        <v>#REF!</v>
      </c>
    </row>
    <row r="420" spans="1:2" x14ac:dyDescent="0.35">
      <c r="A420" t="s">
        <v>66</v>
      </c>
      <c r="B420">
        <f>GETPIVOTDATA("Entries",OuterCol!A1,"Region","West","City","Unique","Product","C","Channel","Direct")</f>
        <v>0</v>
      </c>
    </row>
    <row r="421" spans="1:2" x14ac:dyDescent="0.35">
      <c r="A421" t="s">
        <v>67</v>
      </c>
      <c r="B421">
        <f>GETPIVOTDATA("Revenue",OuterRow!A1)</f>
        <v>70</v>
      </c>
    </row>
    <row r="422" spans="1:2" x14ac:dyDescent="0.35">
      <c r="A422" t="s">
        <v>67</v>
      </c>
      <c r="B422">
        <f>GETPIVOTDATA("Revenue",OuterRow!A1,"Region","North")</f>
        <v>16</v>
      </c>
    </row>
    <row r="423" spans="1:2" x14ac:dyDescent="0.35">
      <c r="A423" t="s">
        <v>67</v>
      </c>
      <c r="B423" t="e">
        <f>GETPIVOTDATA("Revenue",OuterRow!A1,"City","East")</f>
        <v>#REF!</v>
      </c>
    </row>
    <row r="424" spans="1:2" x14ac:dyDescent="0.35">
      <c r="A424" t="s">
        <v>67</v>
      </c>
      <c r="B424">
        <f>GETPIVOTDATA("Revenue",OuterRow!A1,"Region","North","City","East")</f>
        <v>11</v>
      </c>
    </row>
    <row r="425" spans="1:2" x14ac:dyDescent="0.35">
      <c r="A425" t="s">
        <v>67</v>
      </c>
      <c r="B425">
        <f>GETPIVOTDATA("Revenue",OuterRow!A1,"Product","A")</f>
        <v>40</v>
      </c>
    </row>
    <row r="426" spans="1:2" x14ac:dyDescent="0.35">
      <c r="A426" t="s">
        <v>67</v>
      </c>
      <c r="B426">
        <f>GETPIVOTDATA("Revenue",OuterRow!A1,"Region","North","Product","A")</f>
        <v>13</v>
      </c>
    </row>
    <row r="427" spans="1:2" x14ac:dyDescent="0.35">
      <c r="A427" t="s">
        <v>67</v>
      </c>
      <c r="B427" t="e">
        <f>GETPIVOTDATA("Revenue",OuterRow!A1,"City","East","Product","A")</f>
        <v>#REF!</v>
      </c>
    </row>
    <row r="428" spans="1:2" x14ac:dyDescent="0.35">
      <c r="A428" t="s">
        <v>67</v>
      </c>
      <c r="B428">
        <f>GETPIVOTDATA("Revenue",OuterRow!A1,"Region","North","City","East","Product","A")</f>
        <v>13</v>
      </c>
    </row>
    <row r="429" spans="1:2" x14ac:dyDescent="0.35">
      <c r="A429" t="s">
        <v>67</v>
      </c>
      <c r="B429" t="e">
        <f>GETPIVOTDATA("Revenue",OuterRow!A1,"Channel","Retail")</f>
        <v>#REF!</v>
      </c>
    </row>
    <row r="430" spans="1:2" x14ac:dyDescent="0.35">
      <c r="A430" t="s">
        <v>67</v>
      </c>
      <c r="B430" t="e">
        <f>GETPIVOTDATA("Revenue",OuterRow!A1,"Region","North","Channel","Retail")</f>
        <v>#REF!</v>
      </c>
    </row>
    <row r="431" spans="1:2" x14ac:dyDescent="0.35">
      <c r="A431" t="s">
        <v>67</v>
      </c>
      <c r="B431" t="e">
        <f>GETPIVOTDATA("Revenue",OuterRow!A1,"City","East","Channel","Retail")</f>
        <v>#REF!</v>
      </c>
    </row>
    <row r="432" spans="1:2" x14ac:dyDescent="0.35">
      <c r="A432" t="s">
        <v>67</v>
      </c>
      <c r="B432" t="e">
        <f>GETPIVOTDATA("Revenue",OuterRow!A1,"Region","North","City","East","Channel","Retail")</f>
        <v>#REF!</v>
      </c>
    </row>
    <row r="433" spans="1:2" x14ac:dyDescent="0.35">
      <c r="A433" t="s">
        <v>67</v>
      </c>
      <c r="B433">
        <f>GETPIVOTDATA("Revenue",OuterRow!A1,"Product","A","Channel","Retail")</f>
        <v>17</v>
      </c>
    </row>
    <row r="434" spans="1:2" x14ac:dyDescent="0.35">
      <c r="A434" t="s">
        <v>67</v>
      </c>
      <c r="B434">
        <f>GETPIVOTDATA("Revenue",OuterRow!A1,"Region","North","Product","A","Channel","Retail")</f>
        <v>13</v>
      </c>
    </row>
    <row r="435" spans="1:2" x14ac:dyDescent="0.35">
      <c r="A435" t="s">
        <v>67</v>
      </c>
      <c r="B435" t="e">
        <f>GETPIVOTDATA("Revenue",OuterRow!A1,"City","East","Product","A","Channel","Retail")</f>
        <v>#REF!</v>
      </c>
    </row>
    <row r="436" spans="1:2" x14ac:dyDescent="0.35">
      <c r="A436" t="s">
        <v>67</v>
      </c>
      <c r="B436">
        <f>GETPIVOTDATA("Revenue",OuterRow!A1,"Region","North","City","East","Product","A","Channel","Retail")</f>
        <v>13</v>
      </c>
    </row>
    <row r="437" spans="1:2" x14ac:dyDescent="0.35">
      <c r="A437" t="s">
        <v>67</v>
      </c>
      <c r="B437">
        <f>GETPIVOTDATA("Revenue",OuterRow!A1,"City","Unique")</f>
        <v>0</v>
      </c>
    </row>
    <row r="438" spans="1:2" x14ac:dyDescent="0.35">
      <c r="A438" t="s">
        <v>67</v>
      </c>
      <c r="B438">
        <f>GETPIVOTDATA("Revenue",OuterRow!A1,"Product","C")</f>
        <v>0</v>
      </c>
    </row>
    <row r="439" spans="1:2" x14ac:dyDescent="0.35">
      <c r="A439" t="s">
        <v>67</v>
      </c>
      <c r="B439">
        <f>GETPIVOTDATA("Revenue",OuterRow!A1,"Channel","Direct")</f>
        <v>0</v>
      </c>
    </row>
    <row r="440" spans="1:2" x14ac:dyDescent="0.35">
      <c r="A440" t="s">
        <v>67</v>
      </c>
      <c r="B440" t="e">
        <f>GETPIVOTDATA("Revenue",OuterRow!A1,"Region","North","City","missing")</f>
        <v>#REF!</v>
      </c>
    </row>
    <row r="441" spans="1:2" x14ac:dyDescent="0.35">
      <c r="A441" t="s">
        <v>67</v>
      </c>
      <c r="B441">
        <f>GETPIVOTDATA("Revenue",OuterRow!A1,"Region","West","City","Unique","Product","C","Channel","Direct")</f>
        <v>0</v>
      </c>
    </row>
    <row r="442" spans="1:2" x14ac:dyDescent="0.35">
      <c r="A442" t="s">
        <v>67</v>
      </c>
      <c r="B442">
        <f>GETPIVOTDATA("AvgUnits",OuterRow!A1)</f>
        <v>2.6666666666666665</v>
      </c>
    </row>
    <row r="443" spans="1:2" x14ac:dyDescent="0.35">
      <c r="A443" t="s">
        <v>67</v>
      </c>
      <c r="B443">
        <f>GETPIVOTDATA("AvgUnits",OuterRow!A1,"Region","North")</f>
        <v>2.2000000000000002</v>
      </c>
    </row>
    <row r="444" spans="1:2" x14ac:dyDescent="0.35">
      <c r="A444" t="s">
        <v>67</v>
      </c>
      <c r="B444" t="e">
        <f>GETPIVOTDATA("AvgUnits",OuterRow!A1,"City","East")</f>
        <v>#REF!</v>
      </c>
    </row>
    <row r="445" spans="1:2" x14ac:dyDescent="0.35">
      <c r="A445" t="s">
        <v>67</v>
      </c>
      <c r="B445">
        <f>GETPIVOTDATA("AvgUnits",OuterRow!A1,"Region","North","City","East")</f>
        <v>3</v>
      </c>
    </row>
    <row r="446" spans="1:2" x14ac:dyDescent="0.35">
      <c r="A446" t="s">
        <v>67</v>
      </c>
      <c r="B446">
        <f>GETPIVOTDATA("AvgUnits",OuterRow!A1,"Product","A")</f>
        <v>2.7142857142857144</v>
      </c>
    </row>
    <row r="447" spans="1:2" x14ac:dyDescent="0.35">
      <c r="A447" t="s">
        <v>67</v>
      </c>
      <c r="B447">
        <f>GETPIVOTDATA("AvgUnits",OuterRow!A1,"Region","North","Product","A")</f>
        <v>3</v>
      </c>
    </row>
    <row r="448" spans="1:2" x14ac:dyDescent="0.35">
      <c r="A448" t="s">
        <v>67</v>
      </c>
      <c r="B448" t="e">
        <f>GETPIVOTDATA("AvgUnits",OuterRow!A1,"City","East","Product","A")</f>
        <v>#REF!</v>
      </c>
    </row>
    <row r="449" spans="1:2" x14ac:dyDescent="0.35">
      <c r="A449" t="s">
        <v>67</v>
      </c>
      <c r="B449">
        <f>GETPIVOTDATA("AvgUnits",OuterRow!A1,"Region","North","City","East","Product","A")</f>
        <v>4</v>
      </c>
    </row>
    <row r="450" spans="1:2" x14ac:dyDescent="0.35">
      <c r="A450" t="s">
        <v>67</v>
      </c>
      <c r="B450" t="e">
        <f>GETPIVOTDATA("AvgUnits",OuterRow!A1,"Channel","Retail")</f>
        <v>#REF!</v>
      </c>
    </row>
    <row r="451" spans="1:2" x14ac:dyDescent="0.35">
      <c r="A451" t="s">
        <v>67</v>
      </c>
      <c r="B451" t="e">
        <f>GETPIVOTDATA("AvgUnits",OuterRow!A1,"Region","North","Channel","Retail")</f>
        <v>#REF!</v>
      </c>
    </row>
    <row r="452" spans="1:2" x14ac:dyDescent="0.35">
      <c r="A452" t="s">
        <v>67</v>
      </c>
      <c r="B452" t="e">
        <f>GETPIVOTDATA("AvgUnits",OuterRow!A1,"City","East","Channel","Retail")</f>
        <v>#REF!</v>
      </c>
    </row>
    <row r="453" spans="1:2" x14ac:dyDescent="0.35">
      <c r="A453" t="s">
        <v>67</v>
      </c>
      <c r="B453" t="e">
        <f>GETPIVOTDATA("AvgUnits",OuterRow!A1,"Region","North","City","East","Channel","Retail")</f>
        <v>#REF!</v>
      </c>
    </row>
    <row r="454" spans="1:2" x14ac:dyDescent="0.35">
      <c r="A454" t="s">
        <v>67</v>
      </c>
      <c r="B454">
        <f>GETPIVOTDATA("AvgUnits",OuterRow!A1,"Product","A","Channel","Retail")</f>
        <v>3</v>
      </c>
    </row>
    <row r="455" spans="1:2" x14ac:dyDescent="0.35">
      <c r="A455" t="s">
        <v>67</v>
      </c>
      <c r="B455">
        <f>GETPIVOTDATA("AvgUnits",OuterRow!A1,"Region","North","Product","A","Channel","Retail")</f>
        <v>4</v>
      </c>
    </row>
    <row r="456" spans="1:2" x14ac:dyDescent="0.35">
      <c r="A456" t="s">
        <v>67</v>
      </c>
      <c r="B456" t="e">
        <f>GETPIVOTDATA("AvgUnits",OuterRow!A1,"City","East","Product","A","Channel","Retail")</f>
        <v>#REF!</v>
      </c>
    </row>
    <row r="457" spans="1:2" x14ac:dyDescent="0.35">
      <c r="A457" t="s">
        <v>67</v>
      </c>
      <c r="B457">
        <f>GETPIVOTDATA("AvgUnits",OuterRow!A1,"Region","North","City","East","Product","A","Channel","Retail")</f>
        <v>4</v>
      </c>
    </row>
    <row r="458" spans="1:2" x14ac:dyDescent="0.35">
      <c r="A458" t="s">
        <v>67</v>
      </c>
      <c r="B458">
        <f>GETPIVOTDATA("AvgUnits",OuterRow!A1,"City","Unique")</f>
        <v>5</v>
      </c>
    </row>
    <row r="459" spans="1:2" x14ac:dyDescent="0.35">
      <c r="A459" t="s">
        <v>67</v>
      </c>
      <c r="B459">
        <f>GETPIVOTDATA("AvgUnits",OuterRow!A1,"Product","C")</f>
        <v>5</v>
      </c>
    </row>
    <row r="460" spans="1:2" x14ac:dyDescent="0.35">
      <c r="A460" t="s">
        <v>67</v>
      </c>
      <c r="B460">
        <f>GETPIVOTDATA("AvgUnits",OuterRow!A1,"Channel","Direct")</f>
        <v>5</v>
      </c>
    </row>
    <row r="461" spans="1:2" x14ac:dyDescent="0.35">
      <c r="A461" t="s">
        <v>67</v>
      </c>
      <c r="B461" t="e">
        <f>GETPIVOTDATA("AvgUnits",OuterRow!A1,"Region","North","City","missing")</f>
        <v>#REF!</v>
      </c>
    </row>
    <row r="462" spans="1:2" x14ac:dyDescent="0.35">
      <c r="A462" t="s">
        <v>67</v>
      </c>
      <c r="B462">
        <f>GETPIVOTDATA("AvgUnits",OuterRow!A1,"Region","West","City","Unique","Product","C","Channel","Direct")</f>
        <v>5</v>
      </c>
    </row>
    <row r="463" spans="1:2" x14ac:dyDescent="0.35">
      <c r="A463" t="s">
        <v>67</v>
      </c>
      <c r="B463">
        <f>GETPIVOTDATA("Entries",OuterRow!A1)</f>
        <v>11</v>
      </c>
    </row>
    <row r="464" spans="1:2" x14ac:dyDescent="0.35">
      <c r="A464" t="s">
        <v>67</v>
      </c>
      <c r="B464">
        <f>GETPIVOTDATA("Entries",OuterRow!A1,"Region","North")</f>
        <v>5</v>
      </c>
    </row>
    <row r="465" spans="1:2" x14ac:dyDescent="0.35">
      <c r="A465" t="s">
        <v>67</v>
      </c>
      <c r="B465" t="e">
        <f>GETPIVOTDATA("Entries",OuterRow!A1,"City","East")</f>
        <v>#REF!</v>
      </c>
    </row>
    <row r="466" spans="1:2" x14ac:dyDescent="0.35">
      <c r="A466" t="s">
        <v>67</v>
      </c>
      <c r="B466">
        <f>GETPIVOTDATA("Entries",OuterRow!A1,"Region","North","City","East")</f>
        <v>3</v>
      </c>
    </row>
    <row r="467" spans="1:2" x14ac:dyDescent="0.35">
      <c r="A467" t="s">
        <v>67</v>
      </c>
      <c r="B467">
        <f>GETPIVOTDATA("Entries",OuterRow!A1,"Product","A")</f>
        <v>7</v>
      </c>
    </row>
    <row r="468" spans="1:2" x14ac:dyDescent="0.35">
      <c r="A468" t="s">
        <v>67</v>
      </c>
      <c r="B468">
        <f>GETPIVOTDATA("Entries",OuterRow!A1,"Region","North","Product","A")</f>
        <v>3</v>
      </c>
    </row>
    <row r="469" spans="1:2" x14ac:dyDescent="0.35">
      <c r="A469" t="s">
        <v>67</v>
      </c>
      <c r="B469" t="e">
        <f>GETPIVOTDATA("Entries",OuterRow!A1,"City","East","Product","A")</f>
        <v>#REF!</v>
      </c>
    </row>
    <row r="470" spans="1:2" x14ac:dyDescent="0.35">
      <c r="A470" t="s">
        <v>67</v>
      </c>
      <c r="B470">
        <f>GETPIVOTDATA("Entries",OuterRow!A1,"Region","North","City","East","Product","A")</f>
        <v>2</v>
      </c>
    </row>
    <row r="471" spans="1:2" x14ac:dyDescent="0.35">
      <c r="A471" t="s">
        <v>67</v>
      </c>
      <c r="B471" t="e">
        <f>GETPIVOTDATA("Entries",OuterRow!A1,"Channel","Retail")</f>
        <v>#REF!</v>
      </c>
    </row>
    <row r="472" spans="1:2" x14ac:dyDescent="0.35">
      <c r="A472" t="s">
        <v>67</v>
      </c>
      <c r="B472" t="e">
        <f>GETPIVOTDATA("Entries",OuterRow!A1,"Region","North","Channel","Retail")</f>
        <v>#REF!</v>
      </c>
    </row>
    <row r="473" spans="1:2" x14ac:dyDescent="0.35">
      <c r="A473" t="s">
        <v>67</v>
      </c>
      <c r="B473" t="e">
        <f>GETPIVOTDATA("Entries",OuterRow!A1,"City","East","Channel","Retail")</f>
        <v>#REF!</v>
      </c>
    </row>
    <row r="474" spans="1:2" x14ac:dyDescent="0.35">
      <c r="A474" t="s">
        <v>67</v>
      </c>
      <c r="B474" t="e">
        <f>GETPIVOTDATA("Entries",OuterRow!A1,"Region","North","City","East","Channel","Retail")</f>
        <v>#REF!</v>
      </c>
    </row>
    <row r="475" spans="1:2" x14ac:dyDescent="0.35">
      <c r="A475" t="s">
        <v>67</v>
      </c>
      <c r="B475">
        <f>GETPIVOTDATA("Entries",OuterRow!A1,"Product","A","Channel","Retail")</f>
        <v>4</v>
      </c>
    </row>
    <row r="476" spans="1:2" x14ac:dyDescent="0.35">
      <c r="A476" t="s">
        <v>67</v>
      </c>
      <c r="B476">
        <f>GETPIVOTDATA("Entries",OuterRow!A1,"Region","North","Product","A","Channel","Retail")</f>
        <v>2</v>
      </c>
    </row>
    <row r="477" spans="1:2" x14ac:dyDescent="0.35">
      <c r="A477" t="s">
        <v>67</v>
      </c>
      <c r="B477" t="e">
        <f>GETPIVOTDATA("Entries",OuterRow!A1,"City","East","Product","A","Channel","Retail")</f>
        <v>#REF!</v>
      </c>
    </row>
    <row r="478" spans="1:2" x14ac:dyDescent="0.35">
      <c r="A478" t="s">
        <v>67</v>
      </c>
      <c r="B478">
        <f>GETPIVOTDATA("Entries",OuterRow!A1,"Region","North","City","East","Product","A","Channel","Retail")</f>
        <v>2</v>
      </c>
    </row>
    <row r="479" spans="1:2" x14ac:dyDescent="0.35">
      <c r="A479" t="s">
        <v>67</v>
      </c>
      <c r="B479">
        <f>GETPIVOTDATA("Entries",OuterRow!A1,"City","Unique")</f>
        <v>0</v>
      </c>
    </row>
    <row r="480" spans="1:2" x14ac:dyDescent="0.35">
      <c r="A480" t="s">
        <v>67</v>
      </c>
      <c r="B480">
        <f>GETPIVOTDATA("Entries",OuterRow!A1,"Product","C")</f>
        <v>0</v>
      </c>
    </row>
    <row r="481" spans="1:2" x14ac:dyDescent="0.35">
      <c r="A481" t="s">
        <v>67</v>
      </c>
      <c r="B481">
        <f>GETPIVOTDATA("Entries",OuterRow!A1,"Channel","Direct")</f>
        <v>0</v>
      </c>
    </row>
    <row r="482" spans="1:2" x14ac:dyDescent="0.35">
      <c r="A482" t="s">
        <v>67</v>
      </c>
      <c r="B482" t="e">
        <f>GETPIVOTDATA("Entries",OuterRow!A1,"Region","North","City","missing")</f>
        <v>#REF!</v>
      </c>
    </row>
    <row r="483" spans="1:2" x14ac:dyDescent="0.35">
      <c r="A483" t="s">
        <v>67</v>
      </c>
      <c r="B483">
        <f>GETPIVOTDATA("Entries",OuterRow!A1,"Region","West","City","Unique","Product","C","Channel","Direct")</f>
        <v>0</v>
      </c>
    </row>
    <row r="484" spans="1:2" x14ac:dyDescent="0.35">
      <c r="A484" t="s">
        <v>68</v>
      </c>
      <c r="B484">
        <f>GETPIVOTDATA("Revenue",NoSubtotals!A1)</f>
        <v>70</v>
      </c>
    </row>
    <row r="485" spans="1:2" x14ac:dyDescent="0.35">
      <c r="A485" t="s">
        <v>68</v>
      </c>
      <c r="B485" t="e">
        <f>GETPIVOTDATA("Revenue",NoSubtotals!A1,"Region","North")</f>
        <v>#REF!</v>
      </c>
    </row>
    <row r="486" spans="1:2" x14ac:dyDescent="0.35">
      <c r="A486" t="s">
        <v>68</v>
      </c>
      <c r="B486" t="e">
        <f>GETPIVOTDATA("Revenue",NoSubtotals!A1,"City","East")</f>
        <v>#REF!</v>
      </c>
    </row>
    <row r="487" spans="1:2" x14ac:dyDescent="0.35">
      <c r="A487" t="s">
        <v>68</v>
      </c>
      <c r="B487">
        <f>GETPIVOTDATA("Revenue",NoSubtotals!A1,"Region","North","City","East")</f>
        <v>11</v>
      </c>
    </row>
    <row r="488" spans="1:2" x14ac:dyDescent="0.35">
      <c r="A488" t="s">
        <v>68</v>
      </c>
      <c r="B488" t="e">
        <f>GETPIVOTDATA("Revenue",NoSubtotals!A1,"Product","A")</f>
        <v>#REF!</v>
      </c>
    </row>
    <row r="489" spans="1:2" x14ac:dyDescent="0.35">
      <c r="A489" t="s">
        <v>68</v>
      </c>
      <c r="B489" t="e">
        <f>GETPIVOTDATA("Revenue",NoSubtotals!A1,"Region","North","Product","A")</f>
        <v>#REF!</v>
      </c>
    </row>
    <row r="490" spans="1:2" x14ac:dyDescent="0.35">
      <c r="A490" t="s">
        <v>68</v>
      </c>
      <c r="B490" t="e">
        <f>GETPIVOTDATA("Revenue",NoSubtotals!A1,"City","East","Product","A")</f>
        <v>#REF!</v>
      </c>
    </row>
    <row r="491" spans="1:2" x14ac:dyDescent="0.35">
      <c r="A491" t="s">
        <v>68</v>
      </c>
      <c r="B491" t="e">
        <f>GETPIVOTDATA("Revenue",NoSubtotals!A1,"Region","North","City","East","Product","A")</f>
        <v>#REF!</v>
      </c>
    </row>
    <row r="492" spans="1:2" x14ac:dyDescent="0.35">
      <c r="A492" t="s">
        <v>68</v>
      </c>
      <c r="B492" t="e">
        <f>GETPIVOTDATA("Revenue",NoSubtotals!A1,"Channel","Retail")</f>
        <v>#REF!</v>
      </c>
    </row>
    <row r="493" spans="1:2" x14ac:dyDescent="0.35">
      <c r="A493" t="s">
        <v>68</v>
      </c>
      <c r="B493" t="e">
        <f>GETPIVOTDATA("Revenue",NoSubtotals!A1,"Region","North","Channel","Retail")</f>
        <v>#REF!</v>
      </c>
    </row>
    <row r="494" spans="1:2" x14ac:dyDescent="0.35">
      <c r="A494" t="s">
        <v>68</v>
      </c>
      <c r="B494" t="e">
        <f>GETPIVOTDATA("Revenue",NoSubtotals!A1,"City","East","Channel","Retail")</f>
        <v>#REF!</v>
      </c>
    </row>
    <row r="495" spans="1:2" x14ac:dyDescent="0.35">
      <c r="A495" t="s">
        <v>68</v>
      </c>
      <c r="B495" t="e">
        <f>GETPIVOTDATA("Revenue",NoSubtotals!A1,"Region","North","City","East","Channel","Retail")</f>
        <v>#REF!</v>
      </c>
    </row>
    <row r="496" spans="1:2" x14ac:dyDescent="0.35">
      <c r="A496" t="s">
        <v>68</v>
      </c>
      <c r="B496">
        <f>GETPIVOTDATA("Revenue",NoSubtotals!A1,"Product","A","Channel","Retail")</f>
        <v>17</v>
      </c>
    </row>
    <row r="497" spans="1:2" x14ac:dyDescent="0.35">
      <c r="A497" t="s">
        <v>68</v>
      </c>
      <c r="B497" t="e">
        <f>GETPIVOTDATA("Revenue",NoSubtotals!A1,"Region","North","Product","A","Channel","Retail")</f>
        <v>#REF!</v>
      </c>
    </row>
    <row r="498" spans="1:2" x14ac:dyDescent="0.35">
      <c r="A498" t="s">
        <v>68</v>
      </c>
      <c r="B498" t="e">
        <f>GETPIVOTDATA("Revenue",NoSubtotals!A1,"City","East","Product","A","Channel","Retail")</f>
        <v>#REF!</v>
      </c>
    </row>
    <row r="499" spans="1:2" x14ac:dyDescent="0.35">
      <c r="A499" t="s">
        <v>68</v>
      </c>
      <c r="B499">
        <f>GETPIVOTDATA("Revenue",NoSubtotals!A1,"Region","North","City","East","Product","A","Channel","Retail")</f>
        <v>13</v>
      </c>
    </row>
    <row r="500" spans="1:2" x14ac:dyDescent="0.35">
      <c r="A500" t="s">
        <v>68</v>
      </c>
      <c r="B500">
        <f>GETPIVOTDATA("Revenue",NoSubtotals!A1,"City","Unique")</f>
        <v>0</v>
      </c>
    </row>
    <row r="501" spans="1:2" x14ac:dyDescent="0.35">
      <c r="A501" t="s">
        <v>68</v>
      </c>
      <c r="B501">
        <f>GETPIVOTDATA("Revenue",NoSubtotals!A1,"Product","C")</f>
        <v>0</v>
      </c>
    </row>
    <row r="502" spans="1:2" x14ac:dyDescent="0.35">
      <c r="A502" t="s">
        <v>68</v>
      </c>
      <c r="B502">
        <f>GETPIVOTDATA("Revenue",NoSubtotals!A1,"Channel","Direct")</f>
        <v>0</v>
      </c>
    </row>
    <row r="503" spans="1:2" x14ac:dyDescent="0.35">
      <c r="A503" t="s">
        <v>68</v>
      </c>
      <c r="B503" t="e">
        <f>GETPIVOTDATA("Revenue",NoSubtotals!A1,"Region","North","City","missing")</f>
        <v>#REF!</v>
      </c>
    </row>
    <row r="504" spans="1:2" x14ac:dyDescent="0.35">
      <c r="A504" t="s">
        <v>68</v>
      </c>
      <c r="B504">
        <f>GETPIVOTDATA("Revenue",NoSubtotals!A1,"Region","West","City","Unique","Product","C","Channel","Direct")</f>
        <v>0</v>
      </c>
    </row>
    <row r="505" spans="1:2" x14ac:dyDescent="0.35">
      <c r="A505" t="s">
        <v>80</v>
      </c>
      <c r="B505">
        <f>GETPIVOTDATA("Revenue",CustomSum!A1)</f>
        <v>70</v>
      </c>
    </row>
    <row r="506" spans="1:2" x14ac:dyDescent="0.35">
      <c r="A506" t="s">
        <v>80</v>
      </c>
      <c r="B506" t="e">
        <f>GETPIVOTDATA("Revenue",CustomSum!A1,"Region","North")</f>
        <v>#REF!</v>
      </c>
    </row>
    <row r="507" spans="1:2" x14ac:dyDescent="0.35">
      <c r="A507" t="s">
        <v>80</v>
      </c>
      <c r="B507" t="e">
        <f>GETPIVOTDATA("Revenue",CustomSum!A1,"City","East")</f>
        <v>#REF!</v>
      </c>
    </row>
    <row r="508" spans="1:2" x14ac:dyDescent="0.35">
      <c r="A508" t="s">
        <v>80</v>
      </c>
      <c r="B508">
        <f>GETPIVOTDATA("Revenue",CustomSum!A1,"Region","North","City","East")</f>
        <v>11</v>
      </c>
    </row>
    <row r="509" spans="1:2" x14ac:dyDescent="0.35">
      <c r="A509" t="s">
        <v>80</v>
      </c>
      <c r="B509" t="e">
        <f>GETPIVOTDATA("Revenue",CustomSum!A1,"Product","A")</f>
        <v>#REF!</v>
      </c>
    </row>
    <row r="510" spans="1:2" x14ac:dyDescent="0.35">
      <c r="A510" t="s">
        <v>80</v>
      </c>
      <c r="B510" t="e">
        <f>GETPIVOTDATA("Revenue",CustomSum!A1,"Region","North","Product","A")</f>
        <v>#REF!</v>
      </c>
    </row>
    <row r="511" spans="1:2" x14ac:dyDescent="0.35">
      <c r="A511" t="s">
        <v>80</v>
      </c>
      <c r="B511" t="e">
        <f>GETPIVOTDATA("Revenue",CustomSum!A1,"City","East","Product","A")</f>
        <v>#REF!</v>
      </c>
    </row>
    <row r="512" spans="1:2" x14ac:dyDescent="0.35">
      <c r="A512" t="s">
        <v>80</v>
      </c>
      <c r="B512" t="e">
        <f>GETPIVOTDATA("Revenue",CustomSum!A1,"Region","North","City","East","Product","A")</f>
        <v>#REF!</v>
      </c>
    </row>
    <row r="513" spans="1:2" x14ac:dyDescent="0.35">
      <c r="A513" t="s">
        <v>80</v>
      </c>
      <c r="B513" t="e">
        <f>GETPIVOTDATA("Revenue",CustomSum!A1,"Channel","Retail")</f>
        <v>#REF!</v>
      </c>
    </row>
    <row r="514" spans="1:2" x14ac:dyDescent="0.35">
      <c r="A514" t="s">
        <v>80</v>
      </c>
      <c r="B514" t="e">
        <f>GETPIVOTDATA("Revenue",CustomSum!A1,"Region","North","Channel","Retail")</f>
        <v>#REF!</v>
      </c>
    </row>
    <row r="515" spans="1:2" x14ac:dyDescent="0.35">
      <c r="A515" t="s">
        <v>80</v>
      </c>
      <c r="B515" t="e">
        <f>GETPIVOTDATA("Revenue",CustomSum!A1,"City","East","Channel","Retail")</f>
        <v>#REF!</v>
      </c>
    </row>
    <row r="516" spans="1:2" x14ac:dyDescent="0.35">
      <c r="A516" t="s">
        <v>80</v>
      </c>
      <c r="B516" t="e">
        <f>GETPIVOTDATA("Revenue",CustomSum!A1,"Region","North","City","East","Channel","Retail")</f>
        <v>#REF!</v>
      </c>
    </row>
    <row r="517" spans="1:2" x14ac:dyDescent="0.35">
      <c r="A517" t="s">
        <v>80</v>
      </c>
      <c r="B517">
        <f>GETPIVOTDATA("Revenue",CustomSum!A1,"Product","A","Channel","Retail")</f>
        <v>17</v>
      </c>
    </row>
    <row r="518" spans="1:2" x14ac:dyDescent="0.35">
      <c r="A518" t="s">
        <v>80</v>
      </c>
      <c r="B518" t="e">
        <f>GETPIVOTDATA("Revenue",CustomSum!A1,"Region","North","Product","A","Channel","Retail")</f>
        <v>#REF!</v>
      </c>
    </row>
    <row r="519" spans="1:2" x14ac:dyDescent="0.35">
      <c r="A519" t="s">
        <v>80</v>
      </c>
      <c r="B519" t="e">
        <f>GETPIVOTDATA("Revenue",CustomSum!A1,"City","East","Product","A","Channel","Retail")</f>
        <v>#REF!</v>
      </c>
    </row>
    <row r="520" spans="1:2" x14ac:dyDescent="0.35">
      <c r="A520" t="s">
        <v>80</v>
      </c>
      <c r="B520">
        <f>GETPIVOTDATA("Revenue",CustomSum!A1,"Region","North","City","East","Product","A","Channel","Retail")</f>
        <v>13</v>
      </c>
    </row>
    <row r="521" spans="1:2" x14ac:dyDescent="0.35">
      <c r="A521" t="s">
        <v>80</v>
      </c>
      <c r="B521">
        <f>GETPIVOTDATA("Revenue",CustomSum!A1,"City","Unique")</f>
        <v>0</v>
      </c>
    </row>
    <row r="522" spans="1:2" x14ac:dyDescent="0.35">
      <c r="A522" t="s">
        <v>80</v>
      </c>
      <c r="B522">
        <f>GETPIVOTDATA("Revenue",CustomSum!A1,"Product","C")</f>
        <v>0</v>
      </c>
    </row>
    <row r="523" spans="1:2" x14ac:dyDescent="0.35">
      <c r="A523" t="s">
        <v>80</v>
      </c>
      <c r="B523">
        <f>GETPIVOTDATA("Revenue",CustomSum!A1,"Channel","Direct")</f>
        <v>0</v>
      </c>
    </row>
    <row r="524" spans="1:2" x14ac:dyDescent="0.35">
      <c r="A524" t="s">
        <v>80</v>
      </c>
      <c r="B524" t="e">
        <f>GETPIVOTDATA("Revenue",CustomSum!A1,"Region","North","City","missing")</f>
        <v>#REF!</v>
      </c>
    </row>
    <row r="525" spans="1:2" x14ac:dyDescent="0.35">
      <c r="A525" t="s">
        <v>80</v>
      </c>
      <c r="B525">
        <f>GETPIVOTDATA("Revenue",CustomSum!A1,"Region","West","City","Unique","Product","C","Channel","Direct")</f>
        <v>0</v>
      </c>
    </row>
    <row r="526" spans="1:2" x14ac:dyDescent="0.35">
      <c r="A526" t="s">
        <v>92</v>
      </c>
      <c r="B526">
        <f>GETPIVOTDATA("Revenue",CustomTwo!A1)</f>
        <v>70</v>
      </c>
    </row>
    <row r="527" spans="1:2" x14ac:dyDescent="0.35">
      <c r="A527" t="s">
        <v>92</v>
      </c>
      <c r="B527" t="e">
        <f>GETPIVOTDATA("Revenue",CustomTwo!A1,"Region","North")</f>
        <v>#REF!</v>
      </c>
    </row>
    <row r="528" spans="1:2" x14ac:dyDescent="0.35">
      <c r="A528" t="s">
        <v>92</v>
      </c>
      <c r="B528" t="e">
        <f>GETPIVOTDATA("Revenue",CustomTwo!A1,"City","East")</f>
        <v>#REF!</v>
      </c>
    </row>
    <row r="529" spans="1:2" x14ac:dyDescent="0.35">
      <c r="A529" t="s">
        <v>92</v>
      </c>
      <c r="B529">
        <f>GETPIVOTDATA("Revenue",CustomTwo!A1,"Region","North","City","East")</f>
        <v>11</v>
      </c>
    </row>
    <row r="530" spans="1:2" x14ac:dyDescent="0.35">
      <c r="A530" t="s">
        <v>92</v>
      </c>
      <c r="B530" t="e">
        <f>GETPIVOTDATA("Revenue",CustomTwo!A1,"Product","A")</f>
        <v>#REF!</v>
      </c>
    </row>
    <row r="531" spans="1:2" x14ac:dyDescent="0.35">
      <c r="A531" t="s">
        <v>92</v>
      </c>
      <c r="B531" t="e">
        <f>GETPIVOTDATA("Revenue",CustomTwo!A1,"Region","North","Product","A")</f>
        <v>#REF!</v>
      </c>
    </row>
    <row r="532" spans="1:2" x14ac:dyDescent="0.35">
      <c r="A532" t="s">
        <v>92</v>
      </c>
      <c r="B532" t="e">
        <f>GETPIVOTDATA("Revenue",CustomTwo!A1,"City","East","Product","A")</f>
        <v>#REF!</v>
      </c>
    </row>
    <row r="533" spans="1:2" x14ac:dyDescent="0.35">
      <c r="A533" t="s">
        <v>92</v>
      </c>
      <c r="B533" t="e">
        <f>GETPIVOTDATA("Revenue",CustomTwo!A1,"Region","North","City","East","Product","A")</f>
        <v>#REF!</v>
      </c>
    </row>
    <row r="534" spans="1:2" x14ac:dyDescent="0.35">
      <c r="A534" t="s">
        <v>92</v>
      </c>
      <c r="B534" t="e">
        <f>GETPIVOTDATA("Revenue",CustomTwo!A1,"Channel","Retail")</f>
        <v>#REF!</v>
      </c>
    </row>
    <row r="535" spans="1:2" x14ac:dyDescent="0.35">
      <c r="A535" t="s">
        <v>92</v>
      </c>
      <c r="B535" t="e">
        <f>GETPIVOTDATA("Revenue",CustomTwo!A1,"Region","North","Channel","Retail")</f>
        <v>#REF!</v>
      </c>
    </row>
    <row r="536" spans="1:2" x14ac:dyDescent="0.35">
      <c r="A536" t="s">
        <v>92</v>
      </c>
      <c r="B536" t="e">
        <f>GETPIVOTDATA("Revenue",CustomTwo!A1,"City","East","Channel","Retail")</f>
        <v>#REF!</v>
      </c>
    </row>
    <row r="537" spans="1:2" x14ac:dyDescent="0.35">
      <c r="A537" t="s">
        <v>92</v>
      </c>
      <c r="B537" t="e">
        <f>GETPIVOTDATA("Revenue",CustomTwo!A1,"Region","North","City","East","Channel","Retail")</f>
        <v>#REF!</v>
      </c>
    </row>
    <row r="538" spans="1:2" x14ac:dyDescent="0.35">
      <c r="A538" t="s">
        <v>92</v>
      </c>
      <c r="B538">
        <f>GETPIVOTDATA("Revenue",CustomTwo!A1,"Product","A","Channel","Retail")</f>
        <v>17</v>
      </c>
    </row>
    <row r="539" spans="1:2" x14ac:dyDescent="0.35">
      <c r="A539" t="s">
        <v>92</v>
      </c>
      <c r="B539" t="e">
        <f>GETPIVOTDATA("Revenue",CustomTwo!A1,"Region","North","Product","A","Channel","Retail")</f>
        <v>#REF!</v>
      </c>
    </row>
    <row r="540" spans="1:2" x14ac:dyDescent="0.35">
      <c r="A540" t="s">
        <v>92</v>
      </c>
      <c r="B540" t="e">
        <f>GETPIVOTDATA("Revenue",CustomTwo!A1,"City","East","Product","A","Channel","Retail")</f>
        <v>#REF!</v>
      </c>
    </row>
    <row r="541" spans="1:2" x14ac:dyDescent="0.35">
      <c r="A541" t="s">
        <v>92</v>
      </c>
      <c r="B541">
        <f>GETPIVOTDATA("Revenue",CustomTwo!A1,"Region","North","City","East","Product","A","Channel","Retail")</f>
        <v>13</v>
      </c>
    </row>
    <row r="542" spans="1:2" x14ac:dyDescent="0.35">
      <c r="A542" t="s">
        <v>92</v>
      </c>
      <c r="B542">
        <f>GETPIVOTDATA("Revenue",CustomTwo!A1,"City","Unique")</f>
        <v>0</v>
      </c>
    </row>
    <row r="543" spans="1:2" x14ac:dyDescent="0.35">
      <c r="A543" t="s">
        <v>92</v>
      </c>
      <c r="B543">
        <f>GETPIVOTDATA("Revenue",CustomTwo!A1,"Product","C")</f>
        <v>0</v>
      </c>
    </row>
    <row r="544" spans="1:2" x14ac:dyDescent="0.35">
      <c r="A544" t="s">
        <v>92</v>
      </c>
      <c r="B544">
        <f>GETPIVOTDATA("Revenue",CustomTwo!A1,"Channel","Direct")</f>
        <v>0</v>
      </c>
    </row>
    <row r="545" spans="1:2" x14ac:dyDescent="0.35">
      <c r="A545" t="s">
        <v>92</v>
      </c>
      <c r="B545" t="e">
        <f>GETPIVOTDATA("Revenue",CustomTwo!A1,"Region","North","City","missing")</f>
        <v>#REF!</v>
      </c>
    </row>
    <row r="546" spans="1:2" x14ac:dyDescent="0.35">
      <c r="A546" t="s">
        <v>92</v>
      </c>
      <c r="B546">
        <f>GETPIVOTDATA("Revenue",CustomTwo!A1,"Region","West","City","Unique","Product","C","Channel","Direct")</f>
        <v>0</v>
      </c>
    </row>
    <row r="547" spans="1:2" x14ac:dyDescent="0.35">
      <c r="A547" t="s">
        <v>93</v>
      </c>
      <c r="B547" t="e">
        <f>GETPIVOTDATA("Revenue",NoGrand!A1)</f>
        <v>#REF!</v>
      </c>
    </row>
    <row r="548" spans="1:2" x14ac:dyDescent="0.35">
      <c r="A548" t="s">
        <v>93</v>
      </c>
      <c r="B548" t="e">
        <f>GETPIVOTDATA("Revenue",NoGrand!A1,"Region","North")</f>
        <v>#REF!</v>
      </c>
    </row>
    <row r="549" spans="1:2" x14ac:dyDescent="0.35">
      <c r="A549" t="s">
        <v>93</v>
      </c>
      <c r="B549" t="e">
        <f>GETPIVOTDATA("Revenue",NoGrand!A1,"City","East")</f>
        <v>#REF!</v>
      </c>
    </row>
    <row r="550" spans="1:2" x14ac:dyDescent="0.35">
      <c r="A550" t="s">
        <v>93</v>
      </c>
      <c r="B550" t="e">
        <f>GETPIVOTDATA("Revenue",NoGrand!A1,"Region","North","City","East")</f>
        <v>#REF!</v>
      </c>
    </row>
    <row r="551" spans="1:2" x14ac:dyDescent="0.35">
      <c r="A551" t="s">
        <v>93</v>
      </c>
      <c r="B551" t="e">
        <f>GETPIVOTDATA("Revenue",NoGrand!A1,"Product","A")</f>
        <v>#REF!</v>
      </c>
    </row>
    <row r="552" spans="1:2" x14ac:dyDescent="0.35">
      <c r="A552" t="s">
        <v>93</v>
      </c>
      <c r="B552">
        <f>GETPIVOTDATA("Revenue",NoGrand!A1,"Region","North","Product","A")</f>
        <v>13</v>
      </c>
    </row>
    <row r="553" spans="1:2" x14ac:dyDescent="0.35">
      <c r="A553" t="s">
        <v>93</v>
      </c>
      <c r="B553" t="e">
        <f>GETPIVOTDATA("Revenue",NoGrand!A1,"City","East","Product","A")</f>
        <v>#REF!</v>
      </c>
    </row>
    <row r="554" spans="1:2" x14ac:dyDescent="0.35">
      <c r="A554" t="s">
        <v>93</v>
      </c>
      <c r="B554">
        <f>GETPIVOTDATA("Revenue",NoGrand!A1,"Region","North","City","East","Product","A")</f>
        <v>13</v>
      </c>
    </row>
    <row r="555" spans="1:2" x14ac:dyDescent="0.35">
      <c r="A555" t="s">
        <v>93</v>
      </c>
      <c r="B555" t="e">
        <f>GETPIVOTDATA("Revenue",NoGrand!A1,"Channel","Retail")</f>
        <v>#REF!</v>
      </c>
    </row>
    <row r="556" spans="1:2" x14ac:dyDescent="0.35">
      <c r="A556" t="s">
        <v>93</v>
      </c>
      <c r="B556" t="e">
        <f>GETPIVOTDATA("Revenue",NoGrand!A1,"Region","North","Channel","Retail")</f>
        <v>#REF!</v>
      </c>
    </row>
    <row r="557" spans="1:2" x14ac:dyDescent="0.35">
      <c r="A557" t="s">
        <v>93</v>
      </c>
      <c r="B557" t="e">
        <f>GETPIVOTDATA("Revenue",NoGrand!A1,"City","East","Channel","Retail")</f>
        <v>#REF!</v>
      </c>
    </row>
    <row r="558" spans="1:2" x14ac:dyDescent="0.35">
      <c r="A558" t="s">
        <v>93</v>
      </c>
      <c r="B558" t="e">
        <f>GETPIVOTDATA("Revenue",NoGrand!A1,"Region","North","City","East","Channel","Retail")</f>
        <v>#REF!</v>
      </c>
    </row>
    <row r="559" spans="1:2" x14ac:dyDescent="0.35">
      <c r="A559" t="s">
        <v>93</v>
      </c>
      <c r="B559" t="e">
        <f>GETPIVOTDATA("Revenue",NoGrand!A1,"Product","A","Channel","Retail")</f>
        <v>#REF!</v>
      </c>
    </row>
    <row r="560" spans="1:2" x14ac:dyDescent="0.35">
      <c r="A560" t="s">
        <v>93</v>
      </c>
      <c r="B560">
        <f>GETPIVOTDATA("Revenue",NoGrand!A1,"Region","North","Product","A","Channel","Retail")</f>
        <v>13</v>
      </c>
    </row>
    <row r="561" spans="1:2" x14ac:dyDescent="0.35">
      <c r="A561" t="s">
        <v>93</v>
      </c>
      <c r="B561" t="e">
        <f>GETPIVOTDATA("Revenue",NoGrand!A1,"City","East","Product","A","Channel","Retail")</f>
        <v>#REF!</v>
      </c>
    </row>
    <row r="562" spans="1:2" x14ac:dyDescent="0.35">
      <c r="A562" t="s">
        <v>93</v>
      </c>
      <c r="B562">
        <f>GETPIVOTDATA("Revenue",NoGrand!A1,"Region","North","City","East","Product","A","Channel","Retail")</f>
        <v>13</v>
      </c>
    </row>
    <row r="563" spans="1:2" x14ac:dyDescent="0.35">
      <c r="A563" t="s">
        <v>93</v>
      </c>
      <c r="B563" t="e">
        <f>GETPIVOTDATA("Revenue",NoGrand!A1,"City","Unique")</f>
        <v>#REF!</v>
      </c>
    </row>
    <row r="564" spans="1:2" x14ac:dyDescent="0.35">
      <c r="A564" t="s">
        <v>93</v>
      </c>
      <c r="B564" t="e">
        <f>GETPIVOTDATA("Revenue",NoGrand!A1,"Product","C")</f>
        <v>#REF!</v>
      </c>
    </row>
    <row r="565" spans="1:2" x14ac:dyDescent="0.35">
      <c r="A565" t="s">
        <v>93</v>
      </c>
      <c r="B565" t="e">
        <f>GETPIVOTDATA("Revenue",NoGrand!A1,"Channel","Direct")</f>
        <v>#REF!</v>
      </c>
    </row>
    <row r="566" spans="1:2" x14ac:dyDescent="0.35">
      <c r="A566" t="s">
        <v>93</v>
      </c>
      <c r="B566" t="e">
        <f>GETPIVOTDATA("Revenue",NoGrand!A1,"Region","North","City","missing")</f>
        <v>#REF!</v>
      </c>
    </row>
    <row r="567" spans="1:2" x14ac:dyDescent="0.35">
      <c r="A567" t="s">
        <v>93</v>
      </c>
      <c r="B567">
        <f>GETPIVOTDATA("Revenue",NoGrand!A1,"Region","West","City","Unique","Product","C","Channel","Direct")</f>
        <v>0</v>
      </c>
    </row>
    <row r="568" spans="1:2" x14ac:dyDescent="0.35">
      <c r="A568" t="s">
        <v>94</v>
      </c>
      <c r="B568">
        <f>GETPIVOTDATA("Revenue",NoSubtotal3!A1)</f>
        <v>70</v>
      </c>
    </row>
    <row r="569" spans="1:2" x14ac:dyDescent="0.35">
      <c r="A569" t="s">
        <v>94</v>
      </c>
      <c r="B569" t="e">
        <f>GETPIVOTDATA("Revenue",NoSubtotal3!A1,"Region","North")</f>
        <v>#REF!</v>
      </c>
    </row>
    <row r="570" spans="1:2" x14ac:dyDescent="0.35">
      <c r="A570" t="s">
        <v>94</v>
      </c>
      <c r="B570" t="e">
        <f>GETPIVOTDATA("Revenue",NoSubtotal3!A1,"City","East")</f>
        <v>#REF!</v>
      </c>
    </row>
    <row r="571" spans="1:2" x14ac:dyDescent="0.35">
      <c r="A571" t="s">
        <v>94</v>
      </c>
      <c r="B571" t="e">
        <f>GETPIVOTDATA("Revenue",NoSubtotal3!A1,"Region","North","City","East")</f>
        <v>#REF!</v>
      </c>
    </row>
    <row r="572" spans="1:2" x14ac:dyDescent="0.35">
      <c r="A572" t="s">
        <v>94</v>
      </c>
      <c r="B572" t="e">
        <f>GETPIVOTDATA("Revenue",NoSubtotal3!A1,"Product","A")</f>
        <v>#REF!</v>
      </c>
    </row>
    <row r="573" spans="1:2" x14ac:dyDescent="0.35">
      <c r="A573" t="s">
        <v>94</v>
      </c>
      <c r="B573" t="e">
        <f>GETPIVOTDATA("Revenue",NoSubtotal3!A1,"Region","North","Product","A")</f>
        <v>#REF!</v>
      </c>
    </row>
    <row r="574" spans="1:2" x14ac:dyDescent="0.35">
      <c r="A574" t="s">
        <v>94</v>
      </c>
      <c r="B574" t="e">
        <f>GETPIVOTDATA("Revenue",NoSubtotal3!A1,"City","East","Product","A")</f>
        <v>#REF!</v>
      </c>
    </row>
    <row r="575" spans="1:2" x14ac:dyDescent="0.35">
      <c r="A575" t="s">
        <v>94</v>
      </c>
      <c r="B575">
        <f>GETPIVOTDATA("Revenue",NoSubtotal3!A1,"Region","North","City","East","Product","A")</f>
        <v>13</v>
      </c>
    </row>
    <row r="576" spans="1:2" x14ac:dyDescent="0.35">
      <c r="A576" t="s">
        <v>94</v>
      </c>
      <c r="B576">
        <f>GETPIVOTDATA("Revenue",NoSubtotal3!A1,"Channel","Retail")</f>
        <v>29</v>
      </c>
    </row>
    <row r="577" spans="1:2" x14ac:dyDescent="0.35">
      <c r="A577" t="s">
        <v>94</v>
      </c>
      <c r="B577" t="e">
        <f>GETPIVOTDATA("Revenue",NoSubtotal3!A1,"Region","North","Channel","Retail")</f>
        <v>#REF!</v>
      </c>
    </row>
    <row r="578" spans="1:2" x14ac:dyDescent="0.35">
      <c r="A578" t="s">
        <v>94</v>
      </c>
      <c r="B578" t="e">
        <f>GETPIVOTDATA("Revenue",NoSubtotal3!A1,"City","East","Channel","Retail")</f>
        <v>#REF!</v>
      </c>
    </row>
    <row r="579" spans="1:2" x14ac:dyDescent="0.35">
      <c r="A579" t="s">
        <v>94</v>
      </c>
      <c r="B579" t="e">
        <f>GETPIVOTDATA("Revenue",NoSubtotal3!A1,"Region","North","City","East","Channel","Retail")</f>
        <v>#REF!</v>
      </c>
    </row>
    <row r="580" spans="1:2" x14ac:dyDescent="0.35">
      <c r="A580" t="s">
        <v>94</v>
      </c>
      <c r="B580" t="e">
        <f>GETPIVOTDATA("Revenue",NoSubtotal3!A1,"Product","A","Channel","Retail")</f>
        <v>#REF!</v>
      </c>
    </row>
    <row r="581" spans="1:2" x14ac:dyDescent="0.35">
      <c r="A581" t="s">
        <v>94</v>
      </c>
      <c r="B581" t="e">
        <f>GETPIVOTDATA("Revenue",NoSubtotal3!A1,"Region","North","Product","A","Channel","Retail")</f>
        <v>#REF!</v>
      </c>
    </row>
    <row r="582" spans="1:2" x14ac:dyDescent="0.35">
      <c r="A582" t="s">
        <v>94</v>
      </c>
      <c r="B582" t="e">
        <f>GETPIVOTDATA("Revenue",NoSubtotal3!A1,"City","East","Product","A","Channel","Retail")</f>
        <v>#REF!</v>
      </c>
    </row>
    <row r="583" spans="1:2" x14ac:dyDescent="0.35">
      <c r="A583" t="s">
        <v>94</v>
      </c>
      <c r="B583">
        <f>GETPIVOTDATA("Revenue",NoSubtotal3!A1,"Region","North","City","East","Product","A","Channel","Retail")</f>
        <v>13</v>
      </c>
    </row>
    <row r="584" spans="1:2" x14ac:dyDescent="0.35">
      <c r="A584" t="s">
        <v>94</v>
      </c>
      <c r="B584">
        <f>GETPIVOTDATA("Revenue",NoSubtotal3!A1,"City","Unique")</f>
        <v>0</v>
      </c>
    </row>
    <row r="585" spans="1:2" x14ac:dyDescent="0.35">
      <c r="A585" t="s">
        <v>94</v>
      </c>
      <c r="B585">
        <f>GETPIVOTDATA("Revenue",NoSubtotal3!A1,"Product","C")</f>
        <v>0</v>
      </c>
    </row>
    <row r="586" spans="1:2" x14ac:dyDescent="0.35">
      <c r="A586" t="s">
        <v>94</v>
      </c>
      <c r="B586">
        <f>GETPIVOTDATA("Revenue",NoSubtotal3!A1,"Channel","Direct")</f>
        <v>0</v>
      </c>
    </row>
    <row r="587" spans="1:2" x14ac:dyDescent="0.35">
      <c r="A587" t="s">
        <v>94</v>
      </c>
      <c r="B587" t="e">
        <f>GETPIVOTDATA("Revenue",NoSubtotal3!A1,"Region","North","City","missing")</f>
        <v>#REF!</v>
      </c>
    </row>
    <row r="588" spans="1:2" x14ac:dyDescent="0.35">
      <c r="A588" t="s">
        <v>94</v>
      </c>
      <c r="B588">
        <f>GETPIVOTDATA("Revenue",NoSubtotal3!A1,"Region","West","City","Unique","Product","C","Channel","Direct")</f>
        <v>0</v>
      </c>
    </row>
    <row r="589" spans="1:2" x14ac:dyDescent="0.35">
      <c r="A589" t="s">
        <v>94</v>
      </c>
      <c r="B589">
        <f>GETPIVOTDATA("AvgUnits",NoSubtotal3!A1)</f>
        <v>2.6666666666666665</v>
      </c>
    </row>
    <row r="590" spans="1:2" x14ac:dyDescent="0.35">
      <c r="A590" t="s">
        <v>94</v>
      </c>
      <c r="B590" t="e">
        <f>GETPIVOTDATA("AvgUnits",NoSubtotal3!A1,"Region","North")</f>
        <v>#REF!</v>
      </c>
    </row>
    <row r="591" spans="1:2" x14ac:dyDescent="0.35">
      <c r="A591" t="s">
        <v>94</v>
      </c>
      <c r="B591" t="e">
        <f>GETPIVOTDATA("AvgUnits",NoSubtotal3!A1,"City","East")</f>
        <v>#REF!</v>
      </c>
    </row>
    <row r="592" spans="1:2" x14ac:dyDescent="0.35">
      <c r="A592" t="s">
        <v>94</v>
      </c>
      <c r="B592" t="e">
        <f>GETPIVOTDATA("AvgUnits",NoSubtotal3!A1,"Region","North","City","East")</f>
        <v>#REF!</v>
      </c>
    </row>
    <row r="593" spans="1:2" x14ac:dyDescent="0.35">
      <c r="A593" t="s">
        <v>94</v>
      </c>
      <c r="B593" t="e">
        <f>GETPIVOTDATA("AvgUnits",NoSubtotal3!A1,"Product","A")</f>
        <v>#REF!</v>
      </c>
    </row>
    <row r="594" spans="1:2" x14ac:dyDescent="0.35">
      <c r="A594" t="s">
        <v>94</v>
      </c>
      <c r="B594" t="e">
        <f>GETPIVOTDATA("AvgUnits",NoSubtotal3!A1,"Region","North","Product","A")</f>
        <v>#REF!</v>
      </c>
    </row>
    <row r="595" spans="1:2" x14ac:dyDescent="0.35">
      <c r="A595" t="s">
        <v>94</v>
      </c>
      <c r="B595" t="e">
        <f>GETPIVOTDATA("AvgUnits",NoSubtotal3!A1,"City","East","Product","A")</f>
        <v>#REF!</v>
      </c>
    </row>
    <row r="596" spans="1:2" x14ac:dyDescent="0.35">
      <c r="A596" t="s">
        <v>94</v>
      </c>
      <c r="B596">
        <f>GETPIVOTDATA("AvgUnits",NoSubtotal3!A1,"Region","North","City","East","Product","A")</f>
        <v>4</v>
      </c>
    </row>
    <row r="597" spans="1:2" x14ac:dyDescent="0.35">
      <c r="A597" t="s">
        <v>94</v>
      </c>
      <c r="B597">
        <f>GETPIVOTDATA("AvgUnits",NoSubtotal3!A1,"Channel","Retail")</f>
        <v>2.6666666666666665</v>
      </c>
    </row>
    <row r="598" spans="1:2" x14ac:dyDescent="0.35">
      <c r="A598" t="s">
        <v>94</v>
      </c>
      <c r="B598" t="e">
        <f>GETPIVOTDATA("AvgUnits",NoSubtotal3!A1,"Region","North","Channel","Retail")</f>
        <v>#REF!</v>
      </c>
    </row>
    <row r="599" spans="1:2" x14ac:dyDescent="0.35">
      <c r="A599" t="s">
        <v>94</v>
      </c>
      <c r="B599" t="e">
        <f>GETPIVOTDATA("AvgUnits",NoSubtotal3!A1,"City","East","Channel","Retail")</f>
        <v>#REF!</v>
      </c>
    </row>
    <row r="600" spans="1:2" x14ac:dyDescent="0.35">
      <c r="A600" t="s">
        <v>94</v>
      </c>
      <c r="B600" t="e">
        <f>GETPIVOTDATA("AvgUnits",NoSubtotal3!A1,"Region","North","City","East","Channel","Retail")</f>
        <v>#REF!</v>
      </c>
    </row>
    <row r="601" spans="1:2" x14ac:dyDescent="0.35">
      <c r="A601" t="s">
        <v>94</v>
      </c>
      <c r="B601" t="e">
        <f>GETPIVOTDATA("AvgUnits",NoSubtotal3!A1,"Product","A","Channel","Retail")</f>
        <v>#REF!</v>
      </c>
    </row>
    <row r="602" spans="1:2" x14ac:dyDescent="0.35">
      <c r="A602" t="s">
        <v>94</v>
      </c>
      <c r="B602" t="e">
        <f>GETPIVOTDATA("AvgUnits",NoSubtotal3!A1,"Region","North","Product","A","Channel","Retail")</f>
        <v>#REF!</v>
      </c>
    </row>
    <row r="603" spans="1:2" x14ac:dyDescent="0.35">
      <c r="A603" t="s">
        <v>94</v>
      </c>
      <c r="B603" t="e">
        <f>GETPIVOTDATA("AvgUnits",NoSubtotal3!A1,"City","East","Product","A","Channel","Retail")</f>
        <v>#REF!</v>
      </c>
    </row>
    <row r="604" spans="1:2" x14ac:dyDescent="0.35">
      <c r="A604" t="s">
        <v>94</v>
      </c>
      <c r="B604">
        <f>GETPIVOTDATA("AvgUnits",NoSubtotal3!A1,"Region","North","City","East","Product","A","Channel","Retail")</f>
        <v>4</v>
      </c>
    </row>
    <row r="605" spans="1:2" x14ac:dyDescent="0.35">
      <c r="A605" t="s">
        <v>94</v>
      </c>
      <c r="B605">
        <f>GETPIVOTDATA("AvgUnits",NoSubtotal3!A1,"City","Unique")</f>
        <v>5</v>
      </c>
    </row>
    <row r="606" spans="1:2" x14ac:dyDescent="0.35">
      <c r="A606" t="s">
        <v>94</v>
      </c>
      <c r="B606">
        <f>GETPIVOTDATA("AvgUnits",NoSubtotal3!A1,"Product","C")</f>
        <v>5</v>
      </c>
    </row>
    <row r="607" spans="1:2" x14ac:dyDescent="0.35">
      <c r="A607" t="s">
        <v>94</v>
      </c>
      <c r="B607">
        <f>GETPIVOTDATA("AvgUnits",NoSubtotal3!A1,"Channel","Direct")</f>
        <v>5</v>
      </c>
    </row>
    <row r="608" spans="1:2" x14ac:dyDescent="0.35">
      <c r="A608" t="s">
        <v>94</v>
      </c>
      <c r="B608" t="e">
        <f>GETPIVOTDATA("AvgUnits",NoSubtotal3!A1,"Region","North","City","missing")</f>
        <v>#REF!</v>
      </c>
    </row>
    <row r="609" spans="1:2" x14ac:dyDescent="0.35">
      <c r="A609" t="s">
        <v>94</v>
      </c>
      <c r="B609">
        <f>GETPIVOTDATA("AvgUnits",NoSubtotal3!A1,"Region","West","City","Unique","Product","C","Channel","Direct")</f>
        <v>5</v>
      </c>
    </row>
    <row r="610" spans="1:2" x14ac:dyDescent="0.35">
      <c r="A610" t="s">
        <v>94</v>
      </c>
      <c r="B610">
        <f>GETPIVOTDATA("Entries",NoSubtotal3!A1)</f>
        <v>11</v>
      </c>
    </row>
    <row r="611" spans="1:2" x14ac:dyDescent="0.35">
      <c r="A611" t="s">
        <v>94</v>
      </c>
      <c r="B611" t="e">
        <f>GETPIVOTDATA("Entries",NoSubtotal3!A1,"Region","North")</f>
        <v>#REF!</v>
      </c>
    </row>
    <row r="612" spans="1:2" x14ac:dyDescent="0.35">
      <c r="A612" t="s">
        <v>94</v>
      </c>
      <c r="B612" t="e">
        <f>GETPIVOTDATA("Entries",NoSubtotal3!A1,"City","East")</f>
        <v>#REF!</v>
      </c>
    </row>
    <row r="613" spans="1:2" x14ac:dyDescent="0.35">
      <c r="A613" t="s">
        <v>94</v>
      </c>
      <c r="B613" t="e">
        <f>GETPIVOTDATA("Entries",NoSubtotal3!A1,"Region","North","City","East")</f>
        <v>#REF!</v>
      </c>
    </row>
    <row r="614" spans="1:2" x14ac:dyDescent="0.35">
      <c r="A614" t="s">
        <v>94</v>
      </c>
      <c r="B614" t="e">
        <f>GETPIVOTDATA("Entries",NoSubtotal3!A1,"Product","A")</f>
        <v>#REF!</v>
      </c>
    </row>
    <row r="615" spans="1:2" x14ac:dyDescent="0.35">
      <c r="A615" t="s">
        <v>94</v>
      </c>
      <c r="B615" t="e">
        <f>GETPIVOTDATA("Entries",NoSubtotal3!A1,"Region","North","Product","A")</f>
        <v>#REF!</v>
      </c>
    </row>
    <row r="616" spans="1:2" x14ac:dyDescent="0.35">
      <c r="A616" t="s">
        <v>94</v>
      </c>
      <c r="B616" t="e">
        <f>GETPIVOTDATA("Entries",NoSubtotal3!A1,"City","East","Product","A")</f>
        <v>#REF!</v>
      </c>
    </row>
    <row r="617" spans="1:2" x14ac:dyDescent="0.35">
      <c r="A617" t="s">
        <v>94</v>
      </c>
      <c r="B617">
        <f>GETPIVOTDATA("Entries",NoSubtotal3!A1,"Region","North","City","East","Product","A")</f>
        <v>2</v>
      </c>
    </row>
    <row r="618" spans="1:2" x14ac:dyDescent="0.35">
      <c r="A618" t="s">
        <v>94</v>
      </c>
      <c r="B618">
        <f>GETPIVOTDATA("Entries",NoSubtotal3!A1,"Channel","Retail")</f>
        <v>6</v>
      </c>
    </row>
    <row r="619" spans="1:2" x14ac:dyDescent="0.35">
      <c r="A619" t="s">
        <v>94</v>
      </c>
      <c r="B619" t="e">
        <f>GETPIVOTDATA("Entries",NoSubtotal3!A1,"Region","North","Channel","Retail")</f>
        <v>#REF!</v>
      </c>
    </row>
    <row r="620" spans="1:2" x14ac:dyDescent="0.35">
      <c r="A620" t="s">
        <v>94</v>
      </c>
      <c r="B620" t="e">
        <f>GETPIVOTDATA("Entries",NoSubtotal3!A1,"City","East","Channel","Retail")</f>
        <v>#REF!</v>
      </c>
    </row>
    <row r="621" spans="1:2" x14ac:dyDescent="0.35">
      <c r="A621" t="s">
        <v>94</v>
      </c>
      <c r="B621" t="e">
        <f>GETPIVOTDATA("Entries",NoSubtotal3!A1,"Region","North","City","East","Channel","Retail")</f>
        <v>#REF!</v>
      </c>
    </row>
    <row r="622" spans="1:2" x14ac:dyDescent="0.35">
      <c r="A622" t="s">
        <v>94</v>
      </c>
      <c r="B622" t="e">
        <f>GETPIVOTDATA("Entries",NoSubtotal3!A1,"Product","A","Channel","Retail")</f>
        <v>#REF!</v>
      </c>
    </row>
    <row r="623" spans="1:2" x14ac:dyDescent="0.35">
      <c r="A623" t="s">
        <v>94</v>
      </c>
      <c r="B623" t="e">
        <f>GETPIVOTDATA("Entries",NoSubtotal3!A1,"Region","North","Product","A","Channel","Retail")</f>
        <v>#REF!</v>
      </c>
    </row>
    <row r="624" spans="1:2" x14ac:dyDescent="0.35">
      <c r="A624" t="s">
        <v>94</v>
      </c>
      <c r="B624" t="e">
        <f>GETPIVOTDATA("Entries",NoSubtotal3!A1,"City","East","Product","A","Channel","Retail")</f>
        <v>#REF!</v>
      </c>
    </row>
    <row r="625" spans="1:2" x14ac:dyDescent="0.35">
      <c r="A625" t="s">
        <v>94</v>
      </c>
      <c r="B625">
        <f>GETPIVOTDATA("Entries",NoSubtotal3!A1,"Region","North","City","East","Product","A","Channel","Retail")</f>
        <v>2</v>
      </c>
    </row>
    <row r="626" spans="1:2" x14ac:dyDescent="0.35">
      <c r="A626" t="s">
        <v>94</v>
      </c>
      <c r="B626">
        <f>GETPIVOTDATA("Entries",NoSubtotal3!A1,"City","Unique")</f>
        <v>0</v>
      </c>
    </row>
    <row r="627" spans="1:2" x14ac:dyDescent="0.35">
      <c r="A627" t="s">
        <v>94</v>
      </c>
      <c r="B627">
        <f>GETPIVOTDATA("Entries",NoSubtotal3!A1,"Product","C")</f>
        <v>0</v>
      </c>
    </row>
    <row r="628" spans="1:2" x14ac:dyDescent="0.35">
      <c r="A628" t="s">
        <v>94</v>
      </c>
      <c r="B628">
        <f>GETPIVOTDATA("Entries",NoSubtotal3!A1,"Channel","Direct")</f>
        <v>0</v>
      </c>
    </row>
    <row r="629" spans="1:2" x14ac:dyDescent="0.35">
      <c r="A629" t="s">
        <v>94</v>
      </c>
      <c r="B629" t="e">
        <f>GETPIVOTDATA("Entries",NoSubtotal3!A1,"Region","North","City","missing")</f>
        <v>#REF!</v>
      </c>
    </row>
    <row r="630" spans="1:2" x14ac:dyDescent="0.35">
      <c r="A630" t="s">
        <v>94</v>
      </c>
      <c r="B630">
        <f>GETPIVOTDATA("Entries",NoSubtotal3!A1,"Region","West","City","Unique","Product","C","Channel","Direct")</f>
        <v>0</v>
      </c>
    </row>
    <row r="631" spans="1:2" x14ac:dyDescent="0.35">
      <c r="A631" t="s">
        <v>95</v>
      </c>
      <c r="B631">
        <f>GETPIVOTDATA("Revenue",CompactManyRow!A1)</f>
        <v>70</v>
      </c>
    </row>
    <row r="632" spans="1:2" x14ac:dyDescent="0.35">
      <c r="A632" t="s">
        <v>95</v>
      </c>
      <c r="B632">
        <f>GETPIVOTDATA("Revenue",CompactManyRow!A1,"Region","North")</f>
        <v>16</v>
      </c>
    </row>
    <row r="633" spans="1:2" x14ac:dyDescent="0.35">
      <c r="A633" t="s">
        <v>95</v>
      </c>
      <c r="B633" t="e">
        <f>GETPIVOTDATA("Revenue",CompactManyRow!A1,"City","East")</f>
        <v>#REF!</v>
      </c>
    </row>
    <row r="634" spans="1:2" x14ac:dyDescent="0.35">
      <c r="A634" t="s">
        <v>95</v>
      </c>
      <c r="B634">
        <f>GETPIVOTDATA("Revenue",CompactManyRow!A1,"Region","North","City","East")</f>
        <v>11</v>
      </c>
    </row>
    <row r="635" spans="1:2" x14ac:dyDescent="0.35">
      <c r="A635" t="s">
        <v>95</v>
      </c>
      <c r="B635">
        <f>GETPIVOTDATA("Revenue",CompactManyRow!A1,"Product","A")</f>
        <v>40</v>
      </c>
    </row>
    <row r="636" spans="1:2" x14ac:dyDescent="0.35">
      <c r="A636" t="s">
        <v>95</v>
      </c>
      <c r="B636">
        <f>GETPIVOTDATA("Revenue",CompactManyRow!A1,"Region","North","Product","A")</f>
        <v>13</v>
      </c>
    </row>
    <row r="637" spans="1:2" x14ac:dyDescent="0.35">
      <c r="A637" t="s">
        <v>95</v>
      </c>
      <c r="B637" t="e">
        <f>GETPIVOTDATA("Revenue",CompactManyRow!A1,"City","East","Product","A")</f>
        <v>#REF!</v>
      </c>
    </row>
    <row r="638" spans="1:2" x14ac:dyDescent="0.35">
      <c r="A638" t="s">
        <v>95</v>
      </c>
      <c r="B638">
        <f>GETPIVOTDATA("Revenue",CompactManyRow!A1,"Region","North","City","East","Product","A")</f>
        <v>13</v>
      </c>
    </row>
    <row r="639" spans="1:2" x14ac:dyDescent="0.35">
      <c r="A639" t="s">
        <v>95</v>
      </c>
      <c r="B639" t="e">
        <f>GETPIVOTDATA("Revenue",CompactManyRow!A1,"Channel","Retail")</f>
        <v>#REF!</v>
      </c>
    </row>
    <row r="640" spans="1:2" x14ac:dyDescent="0.35">
      <c r="A640" t="s">
        <v>95</v>
      </c>
      <c r="B640" t="e">
        <f>GETPIVOTDATA("Revenue",CompactManyRow!A1,"Region","North","Channel","Retail")</f>
        <v>#REF!</v>
      </c>
    </row>
    <row r="641" spans="1:2" x14ac:dyDescent="0.35">
      <c r="A641" t="s">
        <v>95</v>
      </c>
      <c r="B641" t="e">
        <f>GETPIVOTDATA("Revenue",CompactManyRow!A1,"City","East","Channel","Retail")</f>
        <v>#REF!</v>
      </c>
    </row>
    <row r="642" spans="1:2" x14ac:dyDescent="0.35">
      <c r="A642" t="s">
        <v>95</v>
      </c>
      <c r="B642" t="e">
        <f>GETPIVOTDATA("Revenue",CompactManyRow!A1,"Region","North","City","East","Channel","Retail")</f>
        <v>#REF!</v>
      </c>
    </row>
    <row r="643" spans="1:2" x14ac:dyDescent="0.35">
      <c r="A643" t="s">
        <v>95</v>
      </c>
      <c r="B643">
        <f>GETPIVOTDATA("Revenue",CompactManyRow!A1,"Product","A","Channel","Retail")</f>
        <v>17</v>
      </c>
    </row>
    <row r="644" spans="1:2" x14ac:dyDescent="0.35">
      <c r="A644" t="s">
        <v>95</v>
      </c>
      <c r="B644">
        <f>GETPIVOTDATA("Revenue",CompactManyRow!A1,"Region","North","Product","A","Channel","Retail")</f>
        <v>13</v>
      </c>
    </row>
    <row r="645" spans="1:2" x14ac:dyDescent="0.35">
      <c r="A645" t="s">
        <v>95</v>
      </c>
      <c r="B645" t="e">
        <f>GETPIVOTDATA("Revenue",CompactManyRow!A1,"City","East","Product","A","Channel","Retail")</f>
        <v>#REF!</v>
      </c>
    </row>
    <row r="646" spans="1:2" x14ac:dyDescent="0.35">
      <c r="A646" t="s">
        <v>95</v>
      </c>
      <c r="B646">
        <f>GETPIVOTDATA("Revenue",CompactManyRow!A1,"Region","North","City","East","Product","A","Channel","Retail")</f>
        <v>13</v>
      </c>
    </row>
    <row r="647" spans="1:2" x14ac:dyDescent="0.35">
      <c r="A647" t="s">
        <v>95</v>
      </c>
      <c r="B647">
        <f>GETPIVOTDATA("Revenue",CompactManyRow!A1,"City","Unique")</f>
        <v>0</v>
      </c>
    </row>
    <row r="648" spans="1:2" x14ac:dyDescent="0.35">
      <c r="A648" t="s">
        <v>95</v>
      </c>
      <c r="B648">
        <f>GETPIVOTDATA("Revenue",CompactManyRow!A1,"Product","C")</f>
        <v>0</v>
      </c>
    </row>
    <row r="649" spans="1:2" x14ac:dyDescent="0.35">
      <c r="A649" t="s">
        <v>95</v>
      </c>
      <c r="B649">
        <f>GETPIVOTDATA("Revenue",CompactManyRow!A1,"Channel","Direct")</f>
        <v>0</v>
      </c>
    </row>
    <row r="650" spans="1:2" x14ac:dyDescent="0.35">
      <c r="A650" t="s">
        <v>95</v>
      </c>
      <c r="B650" t="e">
        <f>GETPIVOTDATA("Revenue",CompactManyRow!A1,"Region","North","City","missing")</f>
        <v>#REF!</v>
      </c>
    </row>
    <row r="651" spans="1:2" x14ac:dyDescent="0.35">
      <c r="A651" t="s">
        <v>95</v>
      </c>
      <c r="B651">
        <f>GETPIVOTDATA("Revenue",CompactManyRow!A1,"Region","West","City","Unique","Product","C","Channel","Direct")</f>
        <v>0</v>
      </c>
    </row>
    <row r="652" spans="1:2" x14ac:dyDescent="0.35">
      <c r="A652" t="s">
        <v>95</v>
      </c>
      <c r="B652">
        <f>GETPIVOTDATA("AvgUnits",CompactManyRow!A1)</f>
        <v>2.6666666666666665</v>
      </c>
    </row>
    <row r="653" spans="1:2" x14ac:dyDescent="0.35">
      <c r="A653" t="s">
        <v>95</v>
      </c>
      <c r="B653">
        <f>GETPIVOTDATA("AvgUnits",CompactManyRow!A1,"Region","North")</f>
        <v>2.2000000000000002</v>
      </c>
    </row>
    <row r="654" spans="1:2" x14ac:dyDescent="0.35">
      <c r="A654" t="s">
        <v>95</v>
      </c>
      <c r="B654" t="e">
        <f>GETPIVOTDATA("AvgUnits",CompactManyRow!A1,"City","East")</f>
        <v>#REF!</v>
      </c>
    </row>
    <row r="655" spans="1:2" x14ac:dyDescent="0.35">
      <c r="A655" t="s">
        <v>95</v>
      </c>
      <c r="B655">
        <f>GETPIVOTDATA("AvgUnits",CompactManyRow!A1,"Region","North","City","East")</f>
        <v>3</v>
      </c>
    </row>
    <row r="656" spans="1:2" x14ac:dyDescent="0.35">
      <c r="A656" t="s">
        <v>95</v>
      </c>
      <c r="B656">
        <f>GETPIVOTDATA("AvgUnits",CompactManyRow!A1,"Product","A")</f>
        <v>2.7142857142857144</v>
      </c>
    </row>
    <row r="657" spans="1:2" x14ac:dyDescent="0.35">
      <c r="A657" t="s">
        <v>95</v>
      </c>
      <c r="B657">
        <f>GETPIVOTDATA("AvgUnits",CompactManyRow!A1,"Region","North","Product","A")</f>
        <v>3</v>
      </c>
    </row>
    <row r="658" spans="1:2" x14ac:dyDescent="0.35">
      <c r="A658" t="s">
        <v>95</v>
      </c>
      <c r="B658" t="e">
        <f>GETPIVOTDATA("AvgUnits",CompactManyRow!A1,"City","East","Product","A")</f>
        <v>#REF!</v>
      </c>
    </row>
    <row r="659" spans="1:2" x14ac:dyDescent="0.35">
      <c r="A659" t="s">
        <v>95</v>
      </c>
      <c r="B659">
        <f>GETPIVOTDATA("AvgUnits",CompactManyRow!A1,"Region","North","City","East","Product","A")</f>
        <v>4</v>
      </c>
    </row>
    <row r="660" spans="1:2" x14ac:dyDescent="0.35">
      <c r="A660" t="s">
        <v>95</v>
      </c>
      <c r="B660" t="e">
        <f>GETPIVOTDATA("AvgUnits",CompactManyRow!A1,"Channel","Retail")</f>
        <v>#REF!</v>
      </c>
    </row>
    <row r="661" spans="1:2" x14ac:dyDescent="0.35">
      <c r="A661" t="s">
        <v>95</v>
      </c>
      <c r="B661" t="e">
        <f>GETPIVOTDATA("AvgUnits",CompactManyRow!A1,"Region","North","Channel","Retail")</f>
        <v>#REF!</v>
      </c>
    </row>
    <row r="662" spans="1:2" x14ac:dyDescent="0.35">
      <c r="A662" t="s">
        <v>95</v>
      </c>
      <c r="B662" t="e">
        <f>GETPIVOTDATA("AvgUnits",CompactManyRow!A1,"City","East","Channel","Retail")</f>
        <v>#REF!</v>
      </c>
    </row>
    <row r="663" spans="1:2" x14ac:dyDescent="0.35">
      <c r="A663" t="s">
        <v>95</v>
      </c>
      <c r="B663" t="e">
        <f>GETPIVOTDATA("AvgUnits",CompactManyRow!A1,"Region","North","City","East","Channel","Retail")</f>
        <v>#REF!</v>
      </c>
    </row>
    <row r="664" spans="1:2" x14ac:dyDescent="0.35">
      <c r="A664" t="s">
        <v>95</v>
      </c>
      <c r="B664">
        <f>GETPIVOTDATA("AvgUnits",CompactManyRow!A1,"Product","A","Channel","Retail")</f>
        <v>3</v>
      </c>
    </row>
    <row r="665" spans="1:2" x14ac:dyDescent="0.35">
      <c r="A665" t="s">
        <v>95</v>
      </c>
      <c r="B665">
        <f>GETPIVOTDATA("AvgUnits",CompactManyRow!A1,"Region","North","Product","A","Channel","Retail")</f>
        <v>4</v>
      </c>
    </row>
    <row r="666" spans="1:2" x14ac:dyDescent="0.35">
      <c r="A666" t="s">
        <v>95</v>
      </c>
      <c r="B666" t="e">
        <f>GETPIVOTDATA("AvgUnits",CompactManyRow!A1,"City","East","Product","A","Channel","Retail")</f>
        <v>#REF!</v>
      </c>
    </row>
    <row r="667" spans="1:2" x14ac:dyDescent="0.35">
      <c r="A667" t="s">
        <v>95</v>
      </c>
      <c r="B667">
        <f>GETPIVOTDATA("AvgUnits",CompactManyRow!A1,"Region","North","City","East","Product","A","Channel","Retail")</f>
        <v>4</v>
      </c>
    </row>
    <row r="668" spans="1:2" x14ac:dyDescent="0.35">
      <c r="A668" t="s">
        <v>95</v>
      </c>
      <c r="B668">
        <f>GETPIVOTDATA("AvgUnits",CompactManyRow!A1,"City","Unique")</f>
        <v>5</v>
      </c>
    </row>
    <row r="669" spans="1:2" x14ac:dyDescent="0.35">
      <c r="A669" t="s">
        <v>95</v>
      </c>
      <c r="B669">
        <f>GETPIVOTDATA("AvgUnits",CompactManyRow!A1,"Product","C")</f>
        <v>5</v>
      </c>
    </row>
    <row r="670" spans="1:2" x14ac:dyDescent="0.35">
      <c r="A670" t="s">
        <v>95</v>
      </c>
      <c r="B670">
        <f>GETPIVOTDATA("AvgUnits",CompactManyRow!A1,"Channel","Direct")</f>
        <v>5</v>
      </c>
    </row>
    <row r="671" spans="1:2" x14ac:dyDescent="0.35">
      <c r="A671" t="s">
        <v>95</v>
      </c>
      <c r="B671" t="e">
        <f>GETPIVOTDATA("AvgUnits",CompactManyRow!A1,"Region","North","City","missing")</f>
        <v>#REF!</v>
      </c>
    </row>
    <row r="672" spans="1:2" x14ac:dyDescent="0.35">
      <c r="A672" t="s">
        <v>95</v>
      </c>
      <c r="B672">
        <f>GETPIVOTDATA("AvgUnits",CompactManyRow!A1,"Region","West","City","Unique","Product","C","Channel","Direct")</f>
        <v>5</v>
      </c>
    </row>
    <row r="673" spans="1:2" x14ac:dyDescent="0.35">
      <c r="A673" t="s">
        <v>95</v>
      </c>
      <c r="B673">
        <f>GETPIVOTDATA("Entries",CompactManyRow!A1)</f>
        <v>11</v>
      </c>
    </row>
    <row r="674" spans="1:2" x14ac:dyDescent="0.35">
      <c r="A674" t="s">
        <v>95</v>
      </c>
      <c r="B674">
        <f>GETPIVOTDATA("Entries",CompactManyRow!A1,"Region","North")</f>
        <v>5</v>
      </c>
    </row>
    <row r="675" spans="1:2" x14ac:dyDescent="0.35">
      <c r="A675" t="s">
        <v>95</v>
      </c>
      <c r="B675" t="e">
        <f>GETPIVOTDATA("Entries",CompactManyRow!A1,"City","East")</f>
        <v>#REF!</v>
      </c>
    </row>
    <row r="676" spans="1:2" x14ac:dyDescent="0.35">
      <c r="A676" t="s">
        <v>95</v>
      </c>
      <c r="B676">
        <f>GETPIVOTDATA("Entries",CompactManyRow!A1,"Region","North","City","East")</f>
        <v>3</v>
      </c>
    </row>
    <row r="677" spans="1:2" x14ac:dyDescent="0.35">
      <c r="A677" t="s">
        <v>95</v>
      </c>
      <c r="B677">
        <f>GETPIVOTDATA("Entries",CompactManyRow!A1,"Product","A")</f>
        <v>7</v>
      </c>
    </row>
    <row r="678" spans="1:2" x14ac:dyDescent="0.35">
      <c r="A678" t="s">
        <v>95</v>
      </c>
      <c r="B678">
        <f>GETPIVOTDATA("Entries",CompactManyRow!A1,"Region","North","Product","A")</f>
        <v>3</v>
      </c>
    </row>
    <row r="679" spans="1:2" x14ac:dyDescent="0.35">
      <c r="A679" t="s">
        <v>95</v>
      </c>
      <c r="B679" t="e">
        <f>GETPIVOTDATA("Entries",CompactManyRow!A1,"City","East","Product","A")</f>
        <v>#REF!</v>
      </c>
    </row>
    <row r="680" spans="1:2" x14ac:dyDescent="0.35">
      <c r="A680" t="s">
        <v>95</v>
      </c>
      <c r="B680">
        <f>GETPIVOTDATA("Entries",CompactManyRow!A1,"Region","North","City","East","Product","A")</f>
        <v>2</v>
      </c>
    </row>
    <row r="681" spans="1:2" x14ac:dyDescent="0.35">
      <c r="A681" t="s">
        <v>95</v>
      </c>
      <c r="B681" t="e">
        <f>GETPIVOTDATA("Entries",CompactManyRow!A1,"Channel","Retail")</f>
        <v>#REF!</v>
      </c>
    </row>
    <row r="682" spans="1:2" x14ac:dyDescent="0.35">
      <c r="A682" t="s">
        <v>95</v>
      </c>
      <c r="B682" t="e">
        <f>GETPIVOTDATA("Entries",CompactManyRow!A1,"Region","North","Channel","Retail")</f>
        <v>#REF!</v>
      </c>
    </row>
    <row r="683" spans="1:2" x14ac:dyDescent="0.35">
      <c r="A683" t="s">
        <v>95</v>
      </c>
      <c r="B683" t="e">
        <f>GETPIVOTDATA("Entries",CompactManyRow!A1,"City","East","Channel","Retail")</f>
        <v>#REF!</v>
      </c>
    </row>
    <row r="684" spans="1:2" x14ac:dyDescent="0.35">
      <c r="A684" t="s">
        <v>95</v>
      </c>
      <c r="B684" t="e">
        <f>GETPIVOTDATA("Entries",CompactManyRow!A1,"Region","North","City","East","Channel","Retail")</f>
        <v>#REF!</v>
      </c>
    </row>
    <row r="685" spans="1:2" x14ac:dyDescent="0.35">
      <c r="A685" t="s">
        <v>95</v>
      </c>
      <c r="B685">
        <f>GETPIVOTDATA("Entries",CompactManyRow!A1,"Product","A","Channel","Retail")</f>
        <v>4</v>
      </c>
    </row>
    <row r="686" spans="1:2" x14ac:dyDescent="0.35">
      <c r="A686" t="s">
        <v>95</v>
      </c>
      <c r="B686">
        <f>GETPIVOTDATA("Entries",CompactManyRow!A1,"Region","North","Product","A","Channel","Retail")</f>
        <v>2</v>
      </c>
    </row>
    <row r="687" spans="1:2" x14ac:dyDescent="0.35">
      <c r="A687" t="s">
        <v>95</v>
      </c>
      <c r="B687" t="e">
        <f>GETPIVOTDATA("Entries",CompactManyRow!A1,"City","East","Product","A","Channel","Retail")</f>
        <v>#REF!</v>
      </c>
    </row>
    <row r="688" spans="1:2" x14ac:dyDescent="0.35">
      <c r="A688" t="s">
        <v>95</v>
      </c>
      <c r="B688">
        <f>GETPIVOTDATA("Entries",CompactManyRow!A1,"Region","North","City","East","Product","A","Channel","Retail")</f>
        <v>2</v>
      </c>
    </row>
    <row r="689" spans="1:2" x14ac:dyDescent="0.35">
      <c r="A689" t="s">
        <v>95</v>
      </c>
      <c r="B689">
        <f>GETPIVOTDATA("Entries",CompactManyRow!A1,"City","Unique")</f>
        <v>0</v>
      </c>
    </row>
    <row r="690" spans="1:2" x14ac:dyDescent="0.35">
      <c r="A690" t="s">
        <v>95</v>
      </c>
      <c r="B690">
        <f>GETPIVOTDATA("Entries",CompactManyRow!A1,"Product","C")</f>
        <v>0</v>
      </c>
    </row>
    <row r="691" spans="1:2" x14ac:dyDescent="0.35">
      <c r="A691" t="s">
        <v>95</v>
      </c>
      <c r="B691">
        <f>GETPIVOTDATA("Entries",CompactManyRow!A1,"Channel","Direct")</f>
        <v>0</v>
      </c>
    </row>
    <row r="692" spans="1:2" x14ac:dyDescent="0.35">
      <c r="A692" t="s">
        <v>95</v>
      </c>
      <c r="B692" t="e">
        <f>GETPIVOTDATA("Entries",CompactManyRow!A1,"Region","North","City","missing")</f>
        <v>#REF!</v>
      </c>
    </row>
    <row r="693" spans="1:2" x14ac:dyDescent="0.35">
      <c r="A693" t="s">
        <v>95</v>
      </c>
      <c r="B693">
        <f>GETPIVOTDATA("Entries",CompactManyRow!A1,"Region","West","City","Unique","Product","C","Channel","Direct")</f>
        <v>0</v>
      </c>
    </row>
    <row r="694" spans="1:2" x14ac:dyDescent="0.35">
      <c r="A694" t="s">
        <v>96</v>
      </c>
      <c r="B694">
        <f>GETPIVOTDATA("Revenue",OutlineManyCol!A1)</f>
        <v>70</v>
      </c>
    </row>
    <row r="695" spans="1:2" x14ac:dyDescent="0.35">
      <c r="A695" t="s">
        <v>96</v>
      </c>
      <c r="B695">
        <f>GETPIVOTDATA("Revenue",OutlineManyCol!A1,"Region","North")</f>
        <v>16</v>
      </c>
    </row>
    <row r="696" spans="1:2" x14ac:dyDescent="0.35">
      <c r="A696" t="s">
        <v>96</v>
      </c>
      <c r="B696" t="e">
        <f>GETPIVOTDATA("Revenue",OutlineManyCol!A1,"City","East")</f>
        <v>#REF!</v>
      </c>
    </row>
    <row r="697" spans="1:2" x14ac:dyDescent="0.35">
      <c r="A697" t="s">
        <v>96</v>
      </c>
      <c r="B697">
        <f>GETPIVOTDATA("Revenue",OutlineManyCol!A1,"Region","North","City","East")</f>
        <v>11</v>
      </c>
    </row>
    <row r="698" spans="1:2" x14ac:dyDescent="0.35">
      <c r="A698" t="s">
        <v>96</v>
      </c>
      <c r="B698">
        <f>GETPIVOTDATA("Revenue",OutlineManyCol!A1,"Product","A")</f>
        <v>40</v>
      </c>
    </row>
    <row r="699" spans="1:2" x14ac:dyDescent="0.35">
      <c r="A699" t="s">
        <v>96</v>
      </c>
      <c r="B699">
        <f>GETPIVOTDATA("Revenue",OutlineManyCol!A1,"Region","North","Product","A")</f>
        <v>13</v>
      </c>
    </row>
    <row r="700" spans="1:2" x14ac:dyDescent="0.35">
      <c r="A700" t="s">
        <v>96</v>
      </c>
      <c r="B700" t="e">
        <f>GETPIVOTDATA("Revenue",OutlineManyCol!A1,"City","East","Product","A")</f>
        <v>#REF!</v>
      </c>
    </row>
    <row r="701" spans="1:2" x14ac:dyDescent="0.35">
      <c r="A701" t="s">
        <v>96</v>
      </c>
      <c r="B701">
        <f>GETPIVOTDATA("Revenue",OutlineManyCol!A1,"Region","North","City","East","Product","A")</f>
        <v>13</v>
      </c>
    </row>
    <row r="702" spans="1:2" x14ac:dyDescent="0.35">
      <c r="A702" t="s">
        <v>96</v>
      </c>
      <c r="B702" t="e">
        <f>GETPIVOTDATA("Revenue",OutlineManyCol!A1,"Channel","Retail")</f>
        <v>#REF!</v>
      </c>
    </row>
    <row r="703" spans="1:2" x14ac:dyDescent="0.35">
      <c r="A703" t="s">
        <v>96</v>
      </c>
      <c r="B703" t="e">
        <f>GETPIVOTDATA("Revenue",OutlineManyCol!A1,"Region","North","Channel","Retail")</f>
        <v>#REF!</v>
      </c>
    </row>
    <row r="704" spans="1:2" x14ac:dyDescent="0.35">
      <c r="A704" t="s">
        <v>96</v>
      </c>
      <c r="B704" t="e">
        <f>GETPIVOTDATA("Revenue",OutlineManyCol!A1,"City","East","Channel","Retail")</f>
        <v>#REF!</v>
      </c>
    </row>
    <row r="705" spans="1:2" x14ac:dyDescent="0.35">
      <c r="A705" t="s">
        <v>96</v>
      </c>
      <c r="B705" t="e">
        <f>GETPIVOTDATA("Revenue",OutlineManyCol!A1,"Region","North","City","East","Channel","Retail")</f>
        <v>#REF!</v>
      </c>
    </row>
    <row r="706" spans="1:2" x14ac:dyDescent="0.35">
      <c r="A706" t="s">
        <v>96</v>
      </c>
      <c r="B706">
        <f>GETPIVOTDATA("Revenue",OutlineManyCol!A1,"Product","A","Channel","Retail")</f>
        <v>17</v>
      </c>
    </row>
    <row r="707" spans="1:2" x14ac:dyDescent="0.35">
      <c r="A707" t="s">
        <v>96</v>
      </c>
      <c r="B707">
        <f>GETPIVOTDATA("Revenue",OutlineManyCol!A1,"Region","North","Product","A","Channel","Retail")</f>
        <v>13</v>
      </c>
    </row>
    <row r="708" spans="1:2" x14ac:dyDescent="0.35">
      <c r="A708" t="s">
        <v>96</v>
      </c>
      <c r="B708" t="e">
        <f>GETPIVOTDATA("Revenue",OutlineManyCol!A1,"City","East","Product","A","Channel","Retail")</f>
        <v>#REF!</v>
      </c>
    </row>
    <row r="709" spans="1:2" x14ac:dyDescent="0.35">
      <c r="A709" t="s">
        <v>96</v>
      </c>
      <c r="B709">
        <f>GETPIVOTDATA("Revenue",OutlineManyCol!A1,"Region","North","City","East","Product","A","Channel","Retail")</f>
        <v>13</v>
      </c>
    </row>
    <row r="710" spans="1:2" x14ac:dyDescent="0.35">
      <c r="A710" t="s">
        <v>96</v>
      </c>
      <c r="B710">
        <f>GETPIVOTDATA("Revenue",OutlineManyCol!A1,"City","Unique")</f>
        <v>0</v>
      </c>
    </row>
    <row r="711" spans="1:2" x14ac:dyDescent="0.35">
      <c r="A711" t="s">
        <v>96</v>
      </c>
      <c r="B711">
        <f>GETPIVOTDATA("Revenue",OutlineManyCol!A1,"Product","C")</f>
        <v>0</v>
      </c>
    </row>
    <row r="712" spans="1:2" x14ac:dyDescent="0.35">
      <c r="A712" t="s">
        <v>96</v>
      </c>
      <c r="B712">
        <f>GETPIVOTDATA("Revenue",OutlineManyCol!A1,"Channel","Direct")</f>
        <v>0</v>
      </c>
    </row>
    <row r="713" spans="1:2" x14ac:dyDescent="0.35">
      <c r="A713" t="s">
        <v>96</v>
      </c>
      <c r="B713" t="e">
        <f>GETPIVOTDATA("Revenue",OutlineManyCol!A1,"Region","North","City","missing")</f>
        <v>#REF!</v>
      </c>
    </row>
    <row r="714" spans="1:2" x14ac:dyDescent="0.35">
      <c r="A714" t="s">
        <v>96</v>
      </c>
      <c r="B714">
        <f>GETPIVOTDATA("Revenue",OutlineManyCol!A1,"Region","West","City","Unique","Product","C","Channel","Direct")</f>
        <v>0</v>
      </c>
    </row>
    <row r="715" spans="1:2" x14ac:dyDescent="0.35">
      <c r="A715" t="s">
        <v>96</v>
      </c>
      <c r="B715">
        <f>GETPIVOTDATA("AvgUnits",OutlineManyCol!A1)</f>
        <v>2.6666666666666665</v>
      </c>
    </row>
    <row r="716" spans="1:2" x14ac:dyDescent="0.35">
      <c r="A716" t="s">
        <v>96</v>
      </c>
      <c r="B716">
        <f>GETPIVOTDATA("AvgUnits",OutlineManyCol!A1,"Region","North")</f>
        <v>2.2000000000000002</v>
      </c>
    </row>
    <row r="717" spans="1:2" x14ac:dyDescent="0.35">
      <c r="A717" t="s">
        <v>96</v>
      </c>
      <c r="B717" t="e">
        <f>GETPIVOTDATA("AvgUnits",OutlineManyCol!A1,"City","East")</f>
        <v>#REF!</v>
      </c>
    </row>
    <row r="718" spans="1:2" x14ac:dyDescent="0.35">
      <c r="A718" t="s">
        <v>96</v>
      </c>
      <c r="B718">
        <f>GETPIVOTDATA("AvgUnits",OutlineManyCol!A1,"Region","North","City","East")</f>
        <v>3</v>
      </c>
    </row>
    <row r="719" spans="1:2" x14ac:dyDescent="0.35">
      <c r="A719" t="s">
        <v>96</v>
      </c>
      <c r="B719">
        <f>GETPIVOTDATA("AvgUnits",OutlineManyCol!A1,"Product","A")</f>
        <v>2.7142857142857144</v>
      </c>
    </row>
    <row r="720" spans="1:2" x14ac:dyDescent="0.35">
      <c r="A720" t="s">
        <v>96</v>
      </c>
      <c r="B720">
        <f>GETPIVOTDATA("AvgUnits",OutlineManyCol!A1,"Region","North","Product","A")</f>
        <v>3</v>
      </c>
    </row>
    <row r="721" spans="1:2" x14ac:dyDescent="0.35">
      <c r="A721" t="s">
        <v>96</v>
      </c>
      <c r="B721" t="e">
        <f>GETPIVOTDATA("AvgUnits",OutlineManyCol!A1,"City","East","Product","A")</f>
        <v>#REF!</v>
      </c>
    </row>
    <row r="722" spans="1:2" x14ac:dyDescent="0.35">
      <c r="A722" t="s">
        <v>96</v>
      </c>
      <c r="B722">
        <f>GETPIVOTDATA("AvgUnits",OutlineManyCol!A1,"Region","North","City","East","Product","A")</f>
        <v>4</v>
      </c>
    </row>
    <row r="723" spans="1:2" x14ac:dyDescent="0.35">
      <c r="A723" t="s">
        <v>96</v>
      </c>
      <c r="B723" t="e">
        <f>GETPIVOTDATA("AvgUnits",OutlineManyCol!A1,"Channel","Retail")</f>
        <v>#REF!</v>
      </c>
    </row>
    <row r="724" spans="1:2" x14ac:dyDescent="0.35">
      <c r="A724" t="s">
        <v>96</v>
      </c>
      <c r="B724" t="e">
        <f>GETPIVOTDATA("AvgUnits",OutlineManyCol!A1,"Region","North","Channel","Retail")</f>
        <v>#REF!</v>
      </c>
    </row>
    <row r="725" spans="1:2" x14ac:dyDescent="0.35">
      <c r="A725" t="s">
        <v>96</v>
      </c>
      <c r="B725" t="e">
        <f>GETPIVOTDATA("AvgUnits",OutlineManyCol!A1,"City","East","Channel","Retail")</f>
        <v>#REF!</v>
      </c>
    </row>
    <row r="726" spans="1:2" x14ac:dyDescent="0.35">
      <c r="A726" t="s">
        <v>96</v>
      </c>
      <c r="B726" t="e">
        <f>GETPIVOTDATA("AvgUnits",OutlineManyCol!A1,"Region","North","City","East","Channel","Retail")</f>
        <v>#REF!</v>
      </c>
    </row>
    <row r="727" spans="1:2" x14ac:dyDescent="0.35">
      <c r="A727" t="s">
        <v>96</v>
      </c>
      <c r="B727">
        <f>GETPIVOTDATA("AvgUnits",OutlineManyCol!A1,"Product","A","Channel","Retail")</f>
        <v>3</v>
      </c>
    </row>
    <row r="728" spans="1:2" x14ac:dyDescent="0.35">
      <c r="A728" t="s">
        <v>96</v>
      </c>
      <c r="B728">
        <f>GETPIVOTDATA("AvgUnits",OutlineManyCol!A1,"Region","North","Product","A","Channel","Retail")</f>
        <v>4</v>
      </c>
    </row>
    <row r="729" spans="1:2" x14ac:dyDescent="0.35">
      <c r="A729" t="s">
        <v>96</v>
      </c>
      <c r="B729" t="e">
        <f>GETPIVOTDATA("AvgUnits",OutlineManyCol!A1,"City","East","Product","A","Channel","Retail")</f>
        <v>#REF!</v>
      </c>
    </row>
    <row r="730" spans="1:2" x14ac:dyDescent="0.35">
      <c r="A730" t="s">
        <v>96</v>
      </c>
      <c r="B730">
        <f>GETPIVOTDATA("AvgUnits",OutlineManyCol!A1,"Region","North","City","East","Product","A","Channel","Retail")</f>
        <v>4</v>
      </c>
    </row>
    <row r="731" spans="1:2" x14ac:dyDescent="0.35">
      <c r="A731" t="s">
        <v>96</v>
      </c>
      <c r="B731">
        <f>GETPIVOTDATA("AvgUnits",OutlineManyCol!A1,"City","Unique")</f>
        <v>5</v>
      </c>
    </row>
    <row r="732" spans="1:2" x14ac:dyDescent="0.35">
      <c r="A732" t="s">
        <v>96</v>
      </c>
      <c r="B732">
        <f>GETPIVOTDATA("AvgUnits",OutlineManyCol!A1,"Product","C")</f>
        <v>5</v>
      </c>
    </row>
    <row r="733" spans="1:2" x14ac:dyDescent="0.35">
      <c r="A733" t="s">
        <v>96</v>
      </c>
      <c r="B733">
        <f>GETPIVOTDATA("AvgUnits",OutlineManyCol!A1,"Channel","Direct")</f>
        <v>5</v>
      </c>
    </row>
    <row r="734" spans="1:2" x14ac:dyDescent="0.35">
      <c r="A734" t="s">
        <v>96</v>
      </c>
      <c r="B734" t="e">
        <f>GETPIVOTDATA("AvgUnits",OutlineManyCol!A1,"Region","North","City","missing")</f>
        <v>#REF!</v>
      </c>
    </row>
    <row r="735" spans="1:2" x14ac:dyDescent="0.35">
      <c r="A735" t="s">
        <v>96</v>
      </c>
      <c r="B735">
        <f>GETPIVOTDATA("AvgUnits",OutlineManyCol!A1,"Region","West","City","Unique","Product","C","Channel","Direct")</f>
        <v>5</v>
      </c>
    </row>
    <row r="736" spans="1:2" x14ac:dyDescent="0.35">
      <c r="A736" t="s">
        <v>96</v>
      </c>
      <c r="B736">
        <f>GETPIVOTDATA("Entries",OutlineManyCol!A1)</f>
        <v>11</v>
      </c>
    </row>
    <row r="737" spans="1:2" x14ac:dyDescent="0.35">
      <c r="A737" t="s">
        <v>96</v>
      </c>
      <c r="B737">
        <f>GETPIVOTDATA("Entries",OutlineManyCol!A1,"Region","North")</f>
        <v>5</v>
      </c>
    </row>
    <row r="738" spans="1:2" x14ac:dyDescent="0.35">
      <c r="A738" t="s">
        <v>96</v>
      </c>
      <c r="B738" t="e">
        <f>GETPIVOTDATA("Entries",OutlineManyCol!A1,"City","East")</f>
        <v>#REF!</v>
      </c>
    </row>
    <row r="739" spans="1:2" x14ac:dyDescent="0.35">
      <c r="A739" t="s">
        <v>96</v>
      </c>
      <c r="B739">
        <f>GETPIVOTDATA("Entries",OutlineManyCol!A1,"Region","North","City","East")</f>
        <v>3</v>
      </c>
    </row>
    <row r="740" spans="1:2" x14ac:dyDescent="0.35">
      <c r="A740" t="s">
        <v>96</v>
      </c>
      <c r="B740">
        <f>GETPIVOTDATA("Entries",OutlineManyCol!A1,"Product","A")</f>
        <v>7</v>
      </c>
    </row>
    <row r="741" spans="1:2" x14ac:dyDescent="0.35">
      <c r="A741" t="s">
        <v>96</v>
      </c>
      <c r="B741">
        <f>GETPIVOTDATA("Entries",OutlineManyCol!A1,"Region","North","Product","A")</f>
        <v>3</v>
      </c>
    </row>
    <row r="742" spans="1:2" x14ac:dyDescent="0.35">
      <c r="A742" t="s">
        <v>96</v>
      </c>
      <c r="B742" t="e">
        <f>GETPIVOTDATA("Entries",OutlineManyCol!A1,"City","East","Product","A")</f>
        <v>#REF!</v>
      </c>
    </row>
    <row r="743" spans="1:2" x14ac:dyDescent="0.35">
      <c r="A743" t="s">
        <v>96</v>
      </c>
      <c r="B743">
        <f>GETPIVOTDATA("Entries",OutlineManyCol!A1,"Region","North","City","East","Product","A")</f>
        <v>2</v>
      </c>
    </row>
    <row r="744" spans="1:2" x14ac:dyDescent="0.35">
      <c r="A744" t="s">
        <v>96</v>
      </c>
      <c r="B744" t="e">
        <f>GETPIVOTDATA("Entries",OutlineManyCol!A1,"Channel","Retail")</f>
        <v>#REF!</v>
      </c>
    </row>
    <row r="745" spans="1:2" x14ac:dyDescent="0.35">
      <c r="A745" t="s">
        <v>96</v>
      </c>
      <c r="B745" t="e">
        <f>GETPIVOTDATA("Entries",OutlineManyCol!A1,"Region","North","Channel","Retail")</f>
        <v>#REF!</v>
      </c>
    </row>
    <row r="746" spans="1:2" x14ac:dyDescent="0.35">
      <c r="A746" t="s">
        <v>96</v>
      </c>
      <c r="B746" t="e">
        <f>GETPIVOTDATA("Entries",OutlineManyCol!A1,"City","East","Channel","Retail")</f>
        <v>#REF!</v>
      </c>
    </row>
    <row r="747" spans="1:2" x14ac:dyDescent="0.35">
      <c r="A747" t="s">
        <v>96</v>
      </c>
      <c r="B747" t="e">
        <f>GETPIVOTDATA("Entries",OutlineManyCol!A1,"Region","North","City","East","Channel","Retail")</f>
        <v>#REF!</v>
      </c>
    </row>
    <row r="748" spans="1:2" x14ac:dyDescent="0.35">
      <c r="A748" t="s">
        <v>96</v>
      </c>
      <c r="B748">
        <f>GETPIVOTDATA("Entries",OutlineManyCol!A1,"Product","A","Channel","Retail")</f>
        <v>4</v>
      </c>
    </row>
    <row r="749" spans="1:2" x14ac:dyDescent="0.35">
      <c r="A749" t="s">
        <v>96</v>
      </c>
      <c r="B749">
        <f>GETPIVOTDATA("Entries",OutlineManyCol!A1,"Region","North","Product","A","Channel","Retail")</f>
        <v>2</v>
      </c>
    </row>
    <row r="750" spans="1:2" x14ac:dyDescent="0.35">
      <c r="A750" t="s">
        <v>96</v>
      </c>
      <c r="B750" t="e">
        <f>GETPIVOTDATA("Entries",OutlineManyCol!A1,"City","East","Product","A","Channel","Retail")</f>
        <v>#REF!</v>
      </c>
    </row>
    <row r="751" spans="1:2" x14ac:dyDescent="0.35">
      <c r="A751" t="s">
        <v>96</v>
      </c>
      <c r="B751">
        <f>GETPIVOTDATA("Entries",OutlineManyCol!A1,"Region","North","City","East","Product","A","Channel","Retail")</f>
        <v>2</v>
      </c>
    </row>
    <row r="752" spans="1:2" x14ac:dyDescent="0.35">
      <c r="A752" t="s">
        <v>96</v>
      </c>
      <c r="B752">
        <f>GETPIVOTDATA("Entries",OutlineManyCol!A1,"City","Unique")</f>
        <v>0</v>
      </c>
    </row>
    <row r="753" spans="1:2" x14ac:dyDescent="0.35">
      <c r="A753" t="s">
        <v>96</v>
      </c>
      <c r="B753">
        <f>GETPIVOTDATA("Entries",OutlineManyCol!A1,"Product","C")</f>
        <v>0</v>
      </c>
    </row>
    <row r="754" spans="1:2" x14ac:dyDescent="0.35">
      <c r="A754" t="s">
        <v>96</v>
      </c>
      <c r="B754">
        <f>GETPIVOTDATA("Entries",OutlineManyCol!A1,"Channel","Direct")</f>
        <v>0</v>
      </c>
    </row>
    <row r="755" spans="1:2" x14ac:dyDescent="0.35">
      <c r="A755" t="s">
        <v>96</v>
      </c>
      <c r="B755" t="e">
        <f>GETPIVOTDATA("Entries",OutlineManyCol!A1,"Region","North","City","missing")</f>
        <v>#REF!</v>
      </c>
    </row>
    <row r="756" spans="1:2" x14ac:dyDescent="0.35">
      <c r="A756" t="s">
        <v>96</v>
      </c>
      <c r="B756">
        <f>GETPIVOTDATA("Entries",OutlineManyCol!A1,"Region","West","City","Unique","Product","C","Channel","Direct")</f>
        <v>0</v>
      </c>
    </row>
    <row r="757" spans="1:2" x14ac:dyDescent="0.35">
      <c r="A757" t="s">
        <v>97</v>
      </c>
      <c r="B757">
        <f>GETPIVOTDATA("Revenue",TopSubtotalRow3!A1)</f>
        <v>70</v>
      </c>
    </row>
    <row r="758" spans="1:2" x14ac:dyDescent="0.35">
      <c r="A758" t="s">
        <v>97</v>
      </c>
      <c r="B758">
        <f>GETPIVOTDATA("Revenue",TopSubtotalRow3!A1,"Region","North")</f>
        <v>16</v>
      </c>
    </row>
    <row r="759" spans="1:2" x14ac:dyDescent="0.35">
      <c r="A759" t="s">
        <v>97</v>
      </c>
      <c r="B759" t="e">
        <f>GETPIVOTDATA("Revenue",TopSubtotalRow3!A1,"City","East")</f>
        <v>#REF!</v>
      </c>
    </row>
    <row r="760" spans="1:2" x14ac:dyDescent="0.35">
      <c r="A760" t="s">
        <v>97</v>
      </c>
      <c r="B760">
        <f>GETPIVOTDATA("Revenue",TopSubtotalRow3!A1,"Region","North","City","East")</f>
        <v>11</v>
      </c>
    </row>
    <row r="761" spans="1:2" x14ac:dyDescent="0.35">
      <c r="A761" t="s">
        <v>97</v>
      </c>
      <c r="B761" t="e">
        <f>GETPIVOTDATA("Revenue",TopSubtotalRow3!A1,"Product","A")</f>
        <v>#REF!</v>
      </c>
    </row>
    <row r="762" spans="1:2" x14ac:dyDescent="0.35">
      <c r="A762" t="s">
        <v>97</v>
      </c>
      <c r="B762" t="e">
        <f>GETPIVOTDATA("Revenue",TopSubtotalRow3!A1,"Region","North","Product","A")</f>
        <v>#REF!</v>
      </c>
    </row>
    <row r="763" spans="1:2" x14ac:dyDescent="0.35">
      <c r="A763" t="s">
        <v>97</v>
      </c>
      <c r="B763" t="e">
        <f>GETPIVOTDATA("Revenue",TopSubtotalRow3!A1,"City","East","Product","A")</f>
        <v>#REF!</v>
      </c>
    </row>
    <row r="764" spans="1:2" x14ac:dyDescent="0.35">
      <c r="A764" t="s">
        <v>97</v>
      </c>
      <c r="B764">
        <f>GETPIVOTDATA("Revenue",TopSubtotalRow3!A1,"Region","North","City","East","Product","A")</f>
        <v>13</v>
      </c>
    </row>
    <row r="765" spans="1:2" x14ac:dyDescent="0.35">
      <c r="A765" t="s">
        <v>97</v>
      </c>
      <c r="B765" t="e">
        <f>GETPIVOTDATA("Revenue",TopSubtotalRow3!A1,"Channel","Retail")</f>
        <v>#REF!</v>
      </c>
    </row>
    <row r="766" spans="1:2" x14ac:dyDescent="0.35">
      <c r="A766" t="s">
        <v>97</v>
      </c>
      <c r="B766" t="e">
        <f>GETPIVOTDATA("Revenue",TopSubtotalRow3!A1,"Region","North","Channel","Retail")</f>
        <v>#REF!</v>
      </c>
    </row>
    <row r="767" spans="1:2" x14ac:dyDescent="0.35">
      <c r="A767" t="s">
        <v>97</v>
      </c>
      <c r="B767" t="e">
        <f>GETPIVOTDATA("Revenue",TopSubtotalRow3!A1,"City","East","Channel","Retail")</f>
        <v>#REF!</v>
      </c>
    </row>
    <row r="768" spans="1:2" x14ac:dyDescent="0.35">
      <c r="A768" t="s">
        <v>97</v>
      </c>
      <c r="B768" t="e">
        <f>GETPIVOTDATA("Revenue",TopSubtotalRow3!A1,"Region","North","City","East","Channel","Retail")</f>
        <v>#REF!</v>
      </c>
    </row>
    <row r="769" spans="1:2" x14ac:dyDescent="0.35">
      <c r="A769" t="s">
        <v>97</v>
      </c>
      <c r="B769" t="e">
        <f>GETPIVOTDATA("Revenue",TopSubtotalRow3!A1,"Product","A","Channel","Retail")</f>
        <v>#REF!</v>
      </c>
    </row>
    <row r="770" spans="1:2" x14ac:dyDescent="0.35">
      <c r="A770" t="s">
        <v>97</v>
      </c>
      <c r="B770" t="e">
        <f>GETPIVOTDATA("Revenue",TopSubtotalRow3!A1,"Region","North","Product","A","Channel","Retail")</f>
        <v>#REF!</v>
      </c>
    </row>
    <row r="771" spans="1:2" x14ac:dyDescent="0.35">
      <c r="A771" t="s">
        <v>97</v>
      </c>
      <c r="B771" t="e">
        <f>GETPIVOTDATA("Revenue",TopSubtotalRow3!A1,"City","East","Product","A","Channel","Retail")</f>
        <v>#REF!</v>
      </c>
    </row>
    <row r="772" spans="1:2" x14ac:dyDescent="0.35">
      <c r="A772" t="s">
        <v>97</v>
      </c>
      <c r="B772" t="e">
        <f>GETPIVOTDATA("Revenue",TopSubtotalRow3!A1,"Region","North","City","East","Product","A","Channel","Retail")</f>
        <v>#REF!</v>
      </c>
    </row>
    <row r="773" spans="1:2" x14ac:dyDescent="0.35">
      <c r="A773" t="s">
        <v>97</v>
      </c>
      <c r="B773">
        <f>GETPIVOTDATA("Revenue",TopSubtotalRow3!A1,"City","Unique")</f>
        <v>0</v>
      </c>
    </row>
    <row r="774" spans="1:2" x14ac:dyDescent="0.35">
      <c r="A774" t="s">
        <v>97</v>
      </c>
      <c r="B774">
        <f>GETPIVOTDATA("Revenue",TopSubtotalRow3!A1,"Product","C")</f>
        <v>0</v>
      </c>
    </row>
    <row r="775" spans="1:2" x14ac:dyDescent="0.35">
      <c r="A775" t="s">
        <v>97</v>
      </c>
      <c r="B775" t="e">
        <f>GETPIVOTDATA("Revenue",TopSubtotalRow3!A1,"Channel","Direct")</f>
        <v>#REF!</v>
      </c>
    </row>
    <row r="776" spans="1:2" x14ac:dyDescent="0.35">
      <c r="A776" t="s">
        <v>97</v>
      </c>
      <c r="B776" t="e">
        <f>GETPIVOTDATA("Revenue",TopSubtotalRow3!A1,"Region","North","City","missing")</f>
        <v>#REF!</v>
      </c>
    </row>
    <row r="777" spans="1:2" x14ac:dyDescent="0.35">
      <c r="A777" t="s">
        <v>97</v>
      </c>
      <c r="B777" t="e">
        <f>GETPIVOTDATA("Revenue",TopSubtotalRow3!A1,"Region","West","City","Unique","Product","C","Channel","Direct")</f>
        <v>#REF!</v>
      </c>
    </row>
    <row r="778" spans="1:2" x14ac:dyDescent="0.35">
      <c r="A778" t="s">
        <v>98</v>
      </c>
      <c r="B778">
        <f>GETPIVOTDATA("Revenue",CollapsedRow!A1)</f>
        <v>70</v>
      </c>
    </row>
    <row r="779" spans="1:2" x14ac:dyDescent="0.35">
      <c r="A779" t="s">
        <v>98</v>
      </c>
      <c r="B779">
        <f>GETPIVOTDATA("Revenue",CollapsedRow!A1,"Region","North")</f>
        <v>16</v>
      </c>
    </row>
    <row r="780" spans="1:2" x14ac:dyDescent="0.35">
      <c r="A780" t="s">
        <v>98</v>
      </c>
      <c r="B780" t="e">
        <f>GETPIVOTDATA("Revenue",CollapsedRow!A1,"City","East")</f>
        <v>#REF!</v>
      </c>
    </row>
    <row r="781" spans="1:2" x14ac:dyDescent="0.35">
      <c r="A781" t="s">
        <v>98</v>
      </c>
      <c r="B781" t="e">
        <f>GETPIVOTDATA("Revenue",CollapsedRow!A1,"Region","North","City","East")</f>
        <v>#REF!</v>
      </c>
    </row>
    <row r="782" spans="1:2" x14ac:dyDescent="0.35">
      <c r="A782" t="s">
        <v>98</v>
      </c>
      <c r="B782">
        <f>GETPIVOTDATA("Revenue",CollapsedRow!A1,"Product","A")</f>
        <v>40</v>
      </c>
    </row>
    <row r="783" spans="1:2" x14ac:dyDescent="0.35">
      <c r="A783" t="s">
        <v>98</v>
      </c>
      <c r="B783">
        <f>GETPIVOTDATA("Revenue",CollapsedRow!A1,"Region","North","Product","A")</f>
        <v>13</v>
      </c>
    </row>
    <row r="784" spans="1:2" x14ac:dyDescent="0.35">
      <c r="A784" t="s">
        <v>98</v>
      </c>
      <c r="B784" t="e">
        <f>GETPIVOTDATA("Revenue",CollapsedRow!A1,"City","East","Product","A")</f>
        <v>#REF!</v>
      </c>
    </row>
    <row r="785" spans="1:2" x14ac:dyDescent="0.35">
      <c r="A785" t="s">
        <v>98</v>
      </c>
      <c r="B785" t="e">
        <f>GETPIVOTDATA("Revenue",CollapsedRow!A1,"Region","North","City","East","Product","A")</f>
        <v>#REF!</v>
      </c>
    </row>
    <row r="786" spans="1:2" x14ac:dyDescent="0.35">
      <c r="A786" t="s">
        <v>98</v>
      </c>
      <c r="B786" t="e">
        <f>GETPIVOTDATA("Revenue",CollapsedRow!A1,"Channel","Retail")</f>
        <v>#REF!</v>
      </c>
    </row>
    <row r="787" spans="1:2" x14ac:dyDescent="0.35">
      <c r="A787" t="s">
        <v>98</v>
      </c>
      <c r="B787" t="e">
        <f>GETPIVOTDATA("Revenue",CollapsedRow!A1,"Region","North","Channel","Retail")</f>
        <v>#REF!</v>
      </c>
    </row>
    <row r="788" spans="1:2" x14ac:dyDescent="0.35">
      <c r="A788" t="s">
        <v>98</v>
      </c>
      <c r="B788" t="e">
        <f>GETPIVOTDATA("Revenue",CollapsedRow!A1,"City","East","Channel","Retail")</f>
        <v>#REF!</v>
      </c>
    </row>
    <row r="789" spans="1:2" x14ac:dyDescent="0.35">
      <c r="A789" t="s">
        <v>98</v>
      </c>
      <c r="B789" t="e">
        <f>GETPIVOTDATA("Revenue",CollapsedRow!A1,"Region","North","City","East","Channel","Retail")</f>
        <v>#REF!</v>
      </c>
    </row>
    <row r="790" spans="1:2" x14ac:dyDescent="0.35">
      <c r="A790" t="s">
        <v>98</v>
      </c>
      <c r="B790">
        <f>GETPIVOTDATA("Revenue",CollapsedRow!A1,"Product","A","Channel","Retail")</f>
        <v>17</v>
      </c>
    </row>
    <row r="791" spans="1:2" x14ac:dyDescent="0.35">
      <c r="A791" t="s">
        <v>98</v>
      </c>
      <c r="B791">
        <f>GETPIVOTDATA("Revenue",CollapsedRow!A1,"Region","North","Product","A","Channel","Retail")</f>
        <v>13</v>
      </c>
    </row>
    <row r="792" spans="1:2" x14ac:dyDescent="0.35">
      <c r="A792" t="s">
        <v>98</v>
      </c>
      <c r="B792" t="e">
        <f>GETPIVOTDATA("Revenue",CollapsedRow!A1,"City","East","Product","A","Channel","Retail")</f>
        <v>#REF!</v>
      </c>
    </row>
    <row r="793" spans="1:2" x14ac:dyDescent="0.35">
      <c r="A793" t="s">
        <v>98</v>
      </c>
      <c r="B793" t="e">
        <f>GETPIVOTDATA("Revenue",CollapsedRow!A1,"Region","North","City","East","Product","A","Channel","Retail")</f>
        <v>#REF!</v>
      </c>
    </row>
    <row r="794" spans="1:2" x14ac:dyDescent="0.35">
      <c r="A794" t="s">
        <v>98</v>
      </c>
      <c r="B794">
        <f>GETPIVOTDATA("Revenue",CollapsedRow!A1,"City","Unique")</f>
        <v>0</v>
      </c>
    </row>
    <row r="795" spans="1:2" x14ac:dyDescent="0.35">
      <c r="A795" t="s">
        <v>98</v>
      </c>
      <c r="B795">
        <f>GETPIVOTDATA("Revenue",CollapsedRow!A1,"Product","C")</f>
        <v>0</v>
      </c>
    </row>
    <row r="796" spans="1:2" x14ac:dyDescent="0.35">
      <c r="A796" t="s">
        <v>98</v>
      </c>
      <c r="B796">
        <f>GETPIVOTDATA("Revenue",CollapsedRow!A1,"Channel","Direct")</f>
        <v>0</v>
      </c>
    </row>
    <row r="797" spans="1:2" x14ac:dyDescent="0.35">
      <c r="A797" t="s">
        <v>98</v>
      </c>
      <c r="B797" t="e">
        <f>GETPIVOTDATA("Revenue",CollapsedRow!A1,"Region","North","City","missing")</f>
        <v>#REF!</v>
      </c>
    </row>
    <row r="798" spans="1:2" x14ac:dyDescent="0.35">
      <c r="A798" t="s">
        <v>98</v>
      </c>
      <c r="B798">
        <f>GETPIVOTDATA("Revenue",CollapsedRow!A1,"Region","West","City","Unique","Product","C","Channel","Direct")</f>
        <v>0</v>
      </c>
    </row>
    <row r="799" spans="1:2" x14ac:dyDescent="0.35">
      <c r="A799" t="s">
        <v>99</v>
      </c>
      <c r="B799">
        <f>GETPIVOTDATA("Revenue",CompactOuterRow!A1)</f>
        <v>70</v>
      </c>
    </row>
    <row r="800" spans="1:2" x14ac:dyDescent="0.35">
      <c r="A800" t="s">
        <v>99</v>
      </c>
      <c r="B800">
        <f>GETPIVOTDATA("Revenue",CompactOuterRow!A1,"Region","North")</f>
        <v>16</v>
      </c>
    </row>
    <row r="801" spans="1:2" x14ac:dyDescent="0.35">
      <c r="A801" t="s">
        <v>99</v>
      </c>
      <c r="B801" t="e">
        <f>GETPIVOTDATA("Revenue",CompactOuterRow!A1,"City","East")</f>
        <v>#REF!</v>
      </c>
    </row>
    <row r="802" spans="1:2" x14ac:dyDescent="0.35">
      <c r="A802" t="s">
        <v>99</v>
      </c>
      <c r="B802">
        <f>GETPIVOTDATA("Revenue",CompactOuterRow!A1,"Region","North","City","East")</f>
        <v>11</v>
      </c>
    </row>
    <row r="803" spans="1:2" x14ac:dyDescent="0.35">
      <c r="A803" t="s">
        <v>99</v>
      </c>
      <c r="B803">
        <f>GETPIVOTDATA("Revenue",CompactOuterRow!A1,"Product","A")</f>
        <v>40</v>
      </c>
    </row>
    <row r="804" spans="1:2" x14ac:dyDescent="0.35">
      <c r="A804" t="s">
        <v>99</v>
      </c>
      <c r="B804">
        <f>GETPIVOTDATA("Revenue",CompactOuterRow!A1,"Region","North","Product","A")</f>
        <v>13</v>
      </c>
    </row>
    <row r="805" spans="1:2" x14ac:dyDescent="0.35">
      <c r="A805" t="s">
        <v>99</v>
      </c>
      <c r="B805" t="e">
        <f>GETPIVOTDATA("Revenue",CompactOuterRow!A1,"City","East","Product","A")</f>
        <v>#REF!</v>
      </c>
    </row>
    <row r="806" spans="1:2" x14ac:dyDescent="0.35">
      <c r="A806" t="s">
        <v>99</v>
      </c>
      <c r="B806">
        <f>GETPIVOTDATA("Revenue",CompactOuterRow!A1,"Region","North","City","East","Product","A")</f>
        <v>13</v>
      </c>
    </row>
    <row r="807" spans="1:2" x14ac:dyDescent="0.35">
      <c r="A807" t="s">
        <v>99</v>
      </c>
      <c r="B807" t="e">
        <f>GETPIVOTDATA("Revenue",CompactOuterRow!A1,"Channel","Retail")</f>
        <v>#REF!</v>
      </c>
    </row>
    <row r="808" spans="1:2" x14ac:dyDescent="0.35">
      <c r="A808" t="s">
        <v>99</v>
      </c>
      <c r="B808" t="e">
        <f>GETPIVOTDATA("Revenue",CompactOuterRow!A1,"Region","North","Channel","Retail")</f>
        <v>#REF!</v>
      </c>
    </row>
    <row r="809" spans="1:2" x14ac:dyDescent="0.35">
      <c r="A809" t="s">
        <v>99</v>
      </c>
      <c r="B809" t="e">
        <f>GETPIVOTDATA("Revenue",CompactOuterRow!A1,"City","East","Channel","Retail")</f>
        <v>#REF!</v>
      </c>
    </row>
    <row r="810" spans="1:2" x14ac:dyDescent="0.35">
      <c r="A810" t="s">
        <v>99</v>
      </c>
      <c r="B810" t="e">
        <f>GETPIVOTDATA("Revenue",CompactOuterRow!A1,"Region","North","City","East","Channel","Retail")</f>
        <v>#REF!</v>
      </c>
    </row>
    <row r="811" spans="1:2" x14ac:dyDescent="0.35">
      <c r="A811" t="s">
        <v>99</v>
      </c>
      <c r="B811">
        <f>GETPIVOTDATA("Revenue",CompactOuterRow!A1,"Product","A","Channel","Retail")</f>
        <v>17</v>
      </c>
    </row>
    <row r="812" spans="1:2" x14ac:dyDescent="0.35">
      <c r="A812" t="s">
        <v>99</v>
      </c>
      <c r="B812">
        <f>GETPIVOTDATA("Revenue",CompactOuterRow!A1,"Region","North","Product","A","Channel","Retail")</f>
        <v>13</v>
      </c>
    </row>
    <row r="813" spans="1:2" x14ac:dyDescent="0.35">
      <c r="A813" t="s">
        <v>99</v>
      </c>
      <c r="B813" t="e">
        <f>GETPIVOTDATA("Revenue",CompactOuterRow!A1,"City","East","Product","A","Channel","Retail")</f>
        <v>#REF!</v>
      </c>
    </row>
    <row r="814" spans="1:2" x14ac:dyDescent="0.35">
      <c r="A814" t="s">
        <v>99</v>
      </c>
      <c r="B814">
        <f>GETPIVOTDATA("Revenue",CompactOuterRow!A1,"Region","North","City","East","Product","A","Channel","Retail")</f>
        <v>13</v>
      </c>
    </row>
    <row r="815" spans="1:2" x14ac:dyDescent="0.35">
      <c r="A815" t="s">
        <v>99</v>
      </c>
      <c r="B815">
        <f>GETPIVOTDATA("Revenue",CompactOuterRow!A1,"City","Unique")</f>
        <v>0</v>
      </c>
    </row>
    <row r="816" spans="1:2" x14ac:dyDescent="0.35">
      <c r="A816" t="s">
        <v>99</v>
      </c>
      <c r="B816">
        <f>GETPIVOTDATA("Revenue",CompactOuterRow!A1,"Product","C")</f>
        <v>0</v>
      </c>
    </row>
    <row r="817" spans="1:2" x14ac:dyDescent="0.35">
      <c r="A817" t="s">
        <v>99</v>
      </c>
      <c r="B817">
        <f>GETPIVOTDATA("Revenue",CompactOuterRow!A1,"Channel","Direct")</f>
        <v>0</v>
      </c>
    </row>
    <row r="818" spans="1:2" x14ac:dyDescent="0.35">
      <c r="A818" t="s">
        <v>99</v>
      </c>
      <c r="B818" t="e">
        <f>GETPIVOTDATA("Revenue",CompactOuterRow!A1,"Region","North","City","missing")</f>
        <v>#REF!</v>
      </c>
    </row>
    <row r="819" spans="1:2" x14ac:dyDescent="0.35">
      <c r="A819" t="s">
        <v>99</v>
      </c>
      <c r="B819">
        <f>GETPIVOTDATA("Revenue",CompactOuterRow!A1,"Region","West","City","Unique","Product","C","Channel","Direct")</f>
        <v>0</v>
      </c>
    </row>
    <row r="820" spans="1:2" x14ac:dyDescent="0.35">
      <c r="A820" t="s">
        <v>99</v>
      </c>
      <c r="B820">
        <f>GETPIVOTDATA("AvgUnits",CompactOuterRow!A1)</f>
        <v>2.6666666666666665</v>
      </c>
    </row>
    <row r="821" spans="1:2" x14ac:dyDescent="0.35">
      <c r="A821" t="s">
        <v>99</v>
      </c>
      <c r="B821">
        <f>GETPIVOTDATA("AvgUnits",CompactOuterRow!A1,"Region","North")</f>
        <v>2.2000000000000002</v>
      </c>
    </row>
    <row r="822" spans="1:2" x14ac:dyDescent="0.35">
      <c r="A822" t="s">
        <v>99</v>
      </c>
      <c r="B822" t="e">
        <f>GETPIVOTDATA("AvgUnits",CompactOuterRow!A1,"City","East")</f>
        <v>#REF!</v>
      </c>
    </row>
    <row r="823" spans="1:2" x14ac:dyDescent="0.35">
      <c r="A823" t="s">
        <v>99</v>
      </c>
      <c r="B823">
        <f>GETPIVOTDATA("AvgUnits",CompactOuterRow!A1,"Region","North","City","East")</f>
        <v>3</v>
      </c>
    </row>
    <row r="824" spans="1:2" x14ac:dyDescent="0.35">
      <c r="A824" t="s">
        <v>99</v>
      </c>
      <c r="B824">
        <f>GETPIVOTDATA("AvgUnits",CompactOuterRow!A1,"Product","A")</f>
        <v>2.7142857142857144</v>
      </c>
    </row>
    <row r="825" spans="1:2" x14ac:dyDescent="0.35">
      <c r="A825" t="s">
        <v>99</v>
      </c>
      <c r="B825">
        <f>GETPIVOTDATA("AvgUnits",CompactOuterRow!A1,"Region","North","Product","A")</f>
        <v>3</v>
      </c>
    </row>
    <row r="826" spans="1:2" x14ac:dyDescent="0.35">
      <c r="A826" t="s">
        <v>99</v>
      </c>
      <c r="B826" t="e">
        <f>GETPIVOTDATA("AvgUnits",CompactOuterRow!A1,"City","East","Product","A")</f>
        <v>#REF!</v>
      </c>
    </row>
    <row r="827" spans="1:2" x14ac:dyDescent="0.35">
      <c r="A827" t="s">
        <v>99</v>
      </c>
      <c r="B827">
        <f>GETPIVOTDATA("AvgUnits",CompactOuterRow!A1,"Region","North","City","East","Product","A")</f>
        <v>4</v>
      </c>
    </row>
    <row r="828" spans="1:2" x14ac:dyDescent="0.35">
      <c r="A828" t="s">
        <v>99</v>
      </c>
      <c r="B828" t="e">
        <f>GETPIVOTDATA("AvgUnits",CompactOuterRow!A1,"Channel","Retail")</f>
        <v>#REF!</v>
      </c>
    </row>
    <row r="829" spans="1:2" x14ac:dyDescent="0.35">
      <c r="A829" t="s">
        <v>99</v>
      </c>
      <c r="B829" t="e">
        <f>GETPIVOTDATA("AvgUnits",CompactOuterRow!A1,"Region","North","Channel","Retail")</f>
        <v>#REF!</v>
      </c>
    </row>
    <row r="830" spans="1:2" x14ac:dyDescent="0.35">
      <c r="A830" t="s">
        <v>99</v>
      </c>
      <c r="B830" t="e">
        <f>GETPIVOTDATA("AvgUnits",CompactOuterRow!A1,"City","East","Channel","Retail")</f>
        <v>#REF!</v>
      </c>
    </row>
    <row r="831" spans="1:2" x14ac:dyDescent="0.35">
      <c r="A831" t="s">
        <v>99</v>
      </c>
      <c r="B831" t="e">
        <f>GETPIVOTDATA("AvgUnits",CompactOuterRow!A1,"Region","North","City","East","Channel","Retail")</f>
        <v>#REF!</v>
      </c>
    </row>
    <row r="832" spans="1:2" x14ac:dyDescent="0.35">
      <c r="A832" t="s">
        <v>99</v>
      </c>
      <c r="B832">
        <f>GETPIVOTDATA("AvgUnits",CompactOuterRow!A1,"Product","A","Channel","Retail")</f>
        <v>3</v>
      </c>
    </row>
    <row r="833" spans="1:2" x14ac:dyDescent="0.35">
      <c r="A833" t="s">
        <v>99</v>
      </c>
      <c r="B833">
        <f>GETPIVOTDATA("AvgUnits",CompactOuterRow!A1,"Region","North","Product","A","Channel","Retail")</f>
        <v>4</v>
      </c>
    </row>
    <row r="834" spans="1:2" x14ac:dyDescent="0.35">
      <c r="A834" t="s">
        <v>99</v>
      </c>
      <c r="B834" t="e">
        <f>GETPIVOTDATA("AvgUnits",CompactOuterRow!A1,"City","East","Product","A","Channel","Retail")</f>
        <v>#REF!</v>
      </c>
    </row>
    <row r="835" spans="1:2" x14ac:dyDescent="0.35">
      <c r="A835" t="s">
        <v>99</v>
      </c>
      <c r="B835">
        <f>GETPIVOTDATA("AvgUnits",CompactOuterRow!A1,"Region","North","City","East","Product","A","Channel","Retail")</f>
        <v>4</v>
      </c>
    </row>
    <row r="836" spans="1:2" x14ac:dyDescent="0.35">
      <c r="A836" t="s">
        <v>99</v>
      </c>
      <c r="B836">
        <f>GETPIVOTDATA("AvgUnits",CompactOuterRow!A1,"City","Unique")</f>
        <v>5</v>
      </c>
    </row>
    <row r="837" spans="1:2" x14ac:dyDescent="0.35">
      <c r="A837" t="s">
        <v>99</v>
      </c>
      <c r="B837">
        <f>GETPIVOTDATA("AvgUnits",CompactOuterRow!A1,"Product","C")</f>
        <v>5</v>
      </c>
    </row>
    <row r="838" spans="1:2" x14ac:dyDescent="0.35">
      <c r="A838" t="s">
        <v>99</v>
      </c>
      <c r="B838">
        <f>GETPIVOTDATA("AvgUnits",CompactOuterRow!A1,"Channel","Direct")</f>
        <v>5</v>
      </c>
    </row>
    <row r="839" spans="1:2" x14ac:dyDescent="0.35">
      <c r="A839" t="s">
        <v>99</v>
      </c>
      <c r="B839" t="e">
        <f>GETPIVOTDATA("AvgUnits",CompactOuterRow!A1,"Region","North","City","missing")</f>
        <v>#REF!</v>
      </c>
    </row>
    <row r="840" spans="1:2" x14ac:dyDescent="0.35">
      <c r="A840" t="s">
        <v>99</v>
      </c>
      <c r="B840">
        <f>GETPIVOTDATA("AvgUnits",CompactOuterRow!A1,"Region","West","City","Unique","Product","C","Channel","Direct")</f>
        <v>5</v>
      </c>
    </row>
    <row r="841" spans="1:2" x14ac:dyDescent="0.35">
      <c r="A841" t="s">
        <v>99</v>
      </c>
      <c r="B841">
        <f>GETPIVOTDATA("Entries",CompactOuterRow!A1)</f>
        <v>11</v>
      </c>
    </row>
    <row r="842" spans="1:2" x14ac:dyDescent="0.35">
      <c r="A842" t="s">
        <v>99</v>
      </c>
      <c r="B842">
        <f>GETPIVOTDATA("Entries",CompactOuterRow!A1,"Region","North")</f>
        <v>5</v>
      </c>
    </row>
    <row r="843" spans="1:2" x14ac:dyDescent="0.35">
      <c r="A843" t="s">
        <v>99</v>
      </c>
      <c r="B843" t="e">
        <f>GETPIVOTDATA("Entries",CompactOuterRow!A1,"City","East")</f>
        <v>#REF!</v>
      </c>
    </row>
    <row r="844" spans="1:2" x14ac:dyDescent="0.35">
      <c r="A844" t="s">
        <v>99</v>
      </c>
      <c r="B844">
        <f>GETPIVOTDATA("Entries",CompactOuterRow!A1,"Region","North","City","East")</f>
        <v>3</v>
      </c>
    </row>
    <row r="845" spans="1:2" x14ac:dyDescent="0.35">
      <c r="A845" t="s">
        <v>99</v>
      </c>
      <c r="B845">
        <f>GETPIVOTDATA("Entries",CompactOuterRow!A1,"Product","A")</f>
        <v>7</v>
      </c>
    </row>
    <row r="846" spans="1:2" x14ac:dyDescent="0.35">
      <c r="A846" t="s">
        <v>99</v>
      </c>
      <c r="B846">
        <f>GETPIVOTDATA("Entries",CompactOuterRow!A1,"Region","North","Product","A")</f>
        <v>3</v>
      </c>
    </row>
    <row r="847" spans="1:2" x14ac:dyDescent="0.35">
      <c r="A847" t="s">
        <v>99</v>
      </c>
      <c r="B847" t="e">
        <f>GETPIVOTDATA("Entries",CompactOuterRow!A1,"City","East","Product","A")</f>
        <v>#REF!</v>
      </c>
    </row>
    <row r="848" spans="1:2" x14ac:dyDescent="0.35">
      <c r="A848" t="s">
        <v>99</v>
      </c>
      <c r="B848">
        <f>GETPIVOTDATA("Entries",CompactOuterRow!A1,"Region","North","City","East","Product","A")</f>
        <v>2</v>
      </c>
    </row>
    <row r="849" spans="1:2" x14ac:dyDescent="0.35">
      <c r="A849" t="s">
        <v>99</v>
      </c>
      <c r="B849" t="e">
        <f>GETPIVOTDATA("Entries",CompactOuterRow!A1,"Channel","Retail")</f>
        <v>#REF!</v>
      </c>
    </row>
    <row r="850" spans="1:2" x14ac:dyDescent="0.35">
      <c r="A850" t="s">
        <v>99</v>
      </c>
      <c r="B850" t="e">
        <f>GETPIVOTDATA("Entries",CompactOuterRow!A1,"Region","North","Channel","Retail")</f>
        <v>#REF!</v>
      </c>
    </row>
    <row r="851" spans="1:2" x14ac:dyDescent="0.35">
      <c r="A851" t="s">
        <v>99</v>
      </c>
      <c r="B851" t="e">
        <f>GETPIVOTDATA("Entries",CompactOuterRow!A1,"City","East","Channel","Retail")</f>
        <v>#REF!</v>
      </c>
    </row>
    <row r="852" spans="1:2" x14ac:dyDescent="0.35">
      <c r="A852" t="s">
        <v>99</v>
      </c>
      <c r="B852" t="e">
        <f>GETPIVOTDATA("Entries",CompactOuterRow!A1,"Region","North","City","East","Channel","Retail")</f>
        <v>#REF!</v>
      </c>
    </row>
    <row r="853" spans="1:2" x14ac:dyDescent="0.35">
      <c r="A853" t="s">
        <v>99</v>
      </c>
      <c r="B853">
        <f>GETPIVOTDATA("Entries",CompactOuterRow!A1,"Product","A","Channel","Retail")</f>
        <v>4</v>
      </c>
    </row>
    <row r="854" spans="1:2" x14ac:dyDescent="0.35">
      <c r="A854" t="s">
        <v>99</v>
      </c>
      <c r="B854">
        <f>GETPIVOTDATA("Entries",CompactOuterRow!A1,"Region","North","Product","A","Channel","Retail")</f>
        <v>2</v>
      </c>
    </row>
    <row r="855" spans="1:2" x14ac:dyDescent="0.35">
      <c r="A855" t="s">
        <v>99</v>
      </c>
      <c r="B855" t="e">
        <f>GETPIVOTDATA("Entries",CompactOuterRow!A1,"City","East","Product","A","Channel","Retail")</f>
        <v>#REF!</v>
      </c>
    </row>
    <row r="856" spans="1:2" x14ac:dyDescent="0.35">
      <c r="A856" t="s">
        <v>99</v>
      </c>
      <c r="B856">
        <f>GETPIVOTDATA("Entries",CompactOuterRow!A1,"Region","North","City","East","Product","A","Channel","Retail")</f>
        <v>2</v>
      </c>
    </row>
    <row r="857" spans="1:2" x14ac:dyDescent="0.35">
      <c r="A857" t="s">
        <v>99</v>
      </c>
      <c r="B857">
        <f>GETPIVOTDATA("Entries",CompactOuterRow!A1,"City","Unique")</f>
        <v>0</v>
      </c>
    </row>
    <row r="858" spans="1:2" x14ac:dyDescent="0.35">
      <c r="A858" t="s">
        <v>99</v>
      </c>
      <c r="B858">
        <f>GETPIVOTDATA("Entries",CompactOuterRow!A1,"Product","C")</f>
        <v>0</v>
      </c>
    </row>
    <row r="859" spans="1:2" x14ac:dyDescent="0.35">
      <c r="A859" t="s">
        <v>99</v>
      </c>
      <c r="B859">
        <f>GETPIVOTDATA("Entries",CompactOuterRow!A1,"Channel","Direct")</f>
        <v>0</v>
      </c>
    </row>
    <row r="860" spans="1:2" x14ac:dyDescent="0.35">
      <c r="A860" t="s">
        <v>99</v>
      </c>
      <c r="B860" t="e">
        <f>GETPIVOTDATA("Entries",CompactOuterRow!A1,"Region","North","City","missing")</f>
        <v>#REF!</v>
      </c>
    </row>
    <row r="861" spans="1:2" x14ac:dyDescent="0.35">
      <c r="A861" t="s">
        <v>99</v>
      </c>
      <c r="B861">
        <f>GETPIVOTDATA("Entries",CompactOuterRow!A1,"Region","West","City","Unique","Product","C","Channel","Direct")</f>
        <v>0</v>
      </c>
    </row>
    <row r="862" spans="1:2" x14ac:dyDescent="0.35">
      <c r="A862" t="s">
        <v>100</v>
      </c>
      <c r="B862">
        <f>GETPIVOTDATA("Revenue",CollapsedManyRow!A1)</f>
        <v>70</v>
      </c>
    </row>
    <row r="863" spans="1:2" x14ac:dyDescent="0.35">
      <c r="A863" t="s">
        <v>100</v>
      </c>
      <c r="B863">
        <f>GETPIVOTDATA("Revenue",CollapsedManyRow!A1,"Region","North")</f>
        <v>16</v>
      </c>
    </row>
    <row r="864" spans="1:2" x14ac:dyDescent="0.35">
      <c r="A864" t="s">
        <v>100</v>
      </c>
      <c r="B864" t="e">
        <f>GETPIVOTDATA("Revenue",CollapsedManyRow!A1,"City","East")</f>
        <v>#REF!</v>
      </c>
    </row>
    <row r="865" spans="1:2" x14ac:dyDescent="0.35">
      <c r="A865" t="s">
        <v>100</v>
      </c>
      <c r="B865" t="e">
        <f>GETPIVOTDATA("Revenue",CollapsedManyRow!A1,"Region","North","City","East")</f>
        <v>#REF!</v>
      </c>
    </row>
    <row r="866" spans="1:2" x14ac:dyDescent="0.35">
      <c r="A866" t="s">
        <v>100</v>
      </c>
      <c r="B866">
        <f>GETPIVOTDATA("Revenue",CollapsedManyRow!A1,"Product","A")</f>
        <v>40</v>
      </c>
    </row>
    <row r="867" spans="1:2" x14ac:dyDescent="0.35">
      <c r="A867" t="s">
        <v>100</v>
      </c>
      <c r="B867">
        <f>GETPIVOTDATA("Revenue",CollapsedManyRow!A1,"Region","North","Product","A")</f>
        <v>13</v>
      </c>
    </row>
    <row r="868" spans="1:2" x14ac:dyDescent="0.35">
      <c r="A868" t="s">
        <v>100</v>
      </c>
      <c r="B868" t="e">
        <f>GETPIVOTDATA("Revenue",CollapsedManyRow!A1,"City","East","Product","A")</f>
        <v>#REF!</v>
      </c>
    </row>
    <row r="869" spans="1:2" x14ac:dyDescent="0.35">
      <c r="A869" t="s">
        <v>100</v>
      </c>
      <c r="B869" t="e">
        <f>GETPIVOTDATA("Revenue",CollapsedManyRow!A1,"Region","North","City","East","Product","A")</f>
        <v>#REF!</v>
      </c>
    </row>
    <row r="870" spans="1:2" x14ac:dyDescent="0.35">
      <c r="A870" t="s">
        <v>100</v>
      </c>
      <c r="B870" t="e">
        <f>GETPIVOTDATA("Revenue",CollapsedManyRow!A1,"Channel","Retail")</f>
        <v>#REF!</v>
      </c>
    </row>
    <row r="871" spans="1:2" x14ac:dyDescent="0.35">
      <c r="A871" t="s">
        <v>100</v>
      </c>
      <c r="B871" t="e">
        <f>GETPIVOTDATA("Revenue",CollapsedManyRow!A1,"Region","North","Channel","Retail")</f>
        <v>#REF!</v>
      </c>
    </row>
    <row r="872" spans="1:2" x14ac:dyDescent="0.35">
      <c r="A872" t="s">
        <v>100</v>
      </c>
      <c r="B872" t="e">
        <f>GETPIVOTDATA("Revenue",CollapsedManyRow!A1,"City","East","Channel","Retail")</f>
        <v>#REF!</v>
      </c>
    </row>
    <row r="873" spans="1:2" x14ac:dyDescent="0.35">
      <c r="A873" t="s">
        <v>100</v>
      </c>
      <c r="B873" t="e">
        <f>GETPIVOTDATA("Revenue",CollapsedManyRow!A1,"Region","North","City","East","Channel","Retail")</f>
        <v>#REF!</v>
      </c>
    </row>
    <row r="874" spans="1:2" x14ac:dyDescent="0.35">
      <c r="A874" t="s">
        <v>100</v>
      </c>
      <c r="B874">
        <f>GETPIVOTDATA("Revenue",CollapsedManyRow!A1,"Product","A","Channel","Retail")</f>
        <v>17</v>
      </c>
    </row>
    <row r="875" spans="1:2" x14ac:dyDescent="0.35">
      <c r="A875" t="s">
        <v>100</v>
      </c>
      <c r="B875">
        <f>GETPIVOTDATA("Revenue",CollapsedManyRow!A1,"Region","North","Product","A","Channel","Retail")</f>
        <v>13</v>
      </c>
    </row>
    <row r="876" spans="1:2" x14ac:dyDescent="0.35">
      <c r="A876" t="s">
        <v>100</v>
      </c>
      <c r="B876" t="e">
        <f>GETPIVOTDATA("Revenue",CollapsedManyRow!A1,"City","East","Product","A","Channel","Retail")</f>
        <v>#REF!</v>
      </c>
    </row>
    <row r="877" spans="1:2" x14ac:dyDescent="0.35">
      <c r="A877" t="s">
        <v>100</v>
      </c>
      <c r="B877" t="e">
        <f>GETPIVOTDATA("Revenue",CollapsedManyRow!A1,"Region","North","City","East","Product","A","Channel","Retail")</f>
        <v>#REF!</v>
      </c>
    </row>
    <row r="878" spans="1:2" x14ac:dyDescent="0.35">
      <c r="A878" t="s">
        <v>100</v>
      </c>
      <c r="B878">
        <f>GETPIVOTDATA("Revenue",CollapsedManyRow!A1,"City","Unique")</f>
        <v>0</v>
      </c>
    </row>
    <row r="879" spans="1:2" x14ac:dyDescent="0.35">
      <c r="A879" t="s">
        <v>100</v>
      </c>
      <c r="B879">
        <f>GETPIVOTDATA("Revenue",CollapsedManyRow!A1,"Product","C")</f>
        <v>0</v>
      </c>
    </row>
    <row r="880" spans="1:2" x14ac:dyDescent="0.35">
      <c r="A880" t="s">
        <v>100</v>
      </c>
      <c r="B880">
        <f>GETPIVOTDATA("Revenue",CollapsedManyRow!A1,"Channel","Direct")</f>
        <v>0</v>
      </c>
    </row>
    <row r="881" spans="1:2" x14ac:dyDescent="0.35">
      <c r="A881" t="s">
        <v>100</v>
      </c>
      <c r="B881" t="e">
        <f>GETPIVOTDATA("Revenue",CollapsedManyRow!A1,"Region","North","City","missing")</f>
        <v>#REF!</v>
      </c>
    </row>
    <row r="882" spans="1:2" x14ac:dyDescent="0.35">
      <c r="A882" t="s">
        <v>100</v>
      </c>
      <c r="B882">
        <f>GETPIVOTDATA("Revenue",CollapsedManyRow!A1,"Region","West","City","Unique","Product","C","Channel","Direct")</f>
        <v>0</v>
      </c>
    </row>
    <row r="883" spans="1:2" x14ac:dyDescent="0.35">
      <c r="A883" t="s">
        <v>100</v>
      </c>
      <c r="B883">
        <f>GETPIVOTDATA("AvgUnits",CollapsedManyRow!A1)</f>
        <v>2.6666666666666665</v>
      </c>
    </row>
    <row r="884" spans="1:2" x14ac:dyDescent="0.35">
      <c r="A884" t="s">
        <v>100</v>
      </c>
      <c r="B884">
        <f>GETPIVOTDATA("AvgUnits",CollapsedManyRow!A1,"Region","North")</f>
        <v>2.2000000000000002</v>
      </c>
    </row>
    <row r="885" spans="1:2" x14ac:dyDescent="0.35">
      <c r="A885" t="s">
        <v>100</v>
      </c>
      <c r="B885" t="e">
        <f>GETPIVOTDATA("AvgUnits",CollapsedManyRow!A1,"City","East")</f>
        <v>#REF!</v>
      </c>
    </row>
    <row r="886" spans="1:2" x14ac:dyDescent="0.35">
      <c r="A886" t="s">
        <v>100</v>
      </c>
      <c r="B886" t="e">
        <f>GETPIVOTDATA("AvgUnits",CollapsedManyRow!A1,"Region","North","City","East")</f>
        <v>#REF!</v>
      </c>
    </row>
    <row r="887" spans="1:2" x14ac:dyDescent="0.35">
      <c r="A887" t="s">
        <v>100</v>
      </c>
      <c r="B887">
        <f>GETPIVOTDATA("AvgUnits",CollapsedManyRow!A1,"Product","A")</f>
        <v>2.7142857142857144</v>
      </c>
    </row>
    <row r="888" spans="1:2" x14ac:dyDescent="0.35">
      <c r="A888" t="s">
        <v>100</v>
      </c>
      <c r="B888">
        <f>GETPIVOTDATA("AvgUnits",CollapsedManyRow!A1,"Region","North","Product","A")</f>
        <v>3</v>
      </c>
    </row>
    <row r="889" spans="1:2" x14ac:dyDescent="0.35">
      <c r="A889" t="s">
        <v>100</v>
      </c>
      <c r="B889" t="e">
        <f>GETPIVOTDATA("AvgUnits",CollapsedManyRow!A1,"City","East","Product","A")</f>
        <v>#REF!</v>
      </c>
    </row>
    <row r="890" spans="1:2" x14ac:dyDescent="0.35">
      <c r="A890" t="s">
        <v>100</v>
      </c>
      <c r="B890" t="e">
        <f>GETPIVOTDATA("AvgUnits",CollapsedManyRow!A1,"Region","North","City","East","Product","A")</f>
        <v>#REF!</v>
      </c>
    </row>
    <row r="891" spans="1:2" x14ac:dyDescent="0.35">
      <c r="A891" t="s">
        <v>100</v>
      </c>
      <c r="B891" t="e">
        <f>GETPIVOTDATA("AvgUnits",CollapsedManyRow!A1,"Channel","Retail")</f>
        <v>#REF!</v>
      </c>
    </row>
    <row r="892" spans="1:2" x14ac:dyDescent="0.35">
      <c r="A892" t="s">
        <v>100</v>
      </c>
      <c r="B892" t="e">
        <f>GETPIVOTDATA("AvgUnits",CollapsedManyRow!A1,"Region","North","Channel","Retail")</f>
        <v>#REF!</v>
      </c>
    </row>
    <row r="893" spans="1:2" x14ac:dyDescent="0.35">
      <c r="A893" t="s">
        <v>100</v>
      </c>
      <c r="B893" t="e">
        <f>GETPIVOTDATA("AvgUnits",CollapsedManyRow!A1,"City","East","Channel","Retail")</f>
        <v>#REF!</v>
      </c>
    </row>
    <row r="894" spans="1:2" x14ac:dyDescent="0.35">
      <c r="A894" t="s">
        <v>100</v>
      </c>
      <c r="B894" t="e">
        <f>GETPIVOTDATA("AvgUnits",CollapsedManyRow!A1,"Region","North","City","East","Channel","Retail")</f>
        <v>#REF!</v>
      </c>
    </row>
    <row r="895" spans="1:2" x14ac:dyDescent="0.35">
      <c r="A895" t="s">
        <v>100</v>
      </c>
      <c r="B895">
        <f>GETPIVOTDATA("AvgUnits",CollapsedManyRow!A1,"Product","A","Channel","Retail")</f>
        <v>3</v>
      </c>
    </row>
    <row r="896" spans="1:2" x14ac:dyDescent="0.35">
      <c r="A896" t="s">
        <v>100</v>
      </c>
      <c r="B896">
        <f>GETPIVOTDATA("AvgUnits",CollapsedManyRow!A1,"Region","North","Product","A","Channel","Retail")</f>
        <v>4</v>
      </c>
    </row>
    <row r="897" spans="1:2" x14ac:dyDescent="0.35">
      <c r="A897" t="s">
        <v>100</v>
      </c>
      <c r="B897" t="e">
        <f>GETPIVOTDATA("AvgUnits",CollapsedManyRow!A1,"City","East","Product","A","Channel","Retail")</f>
        <v>#REF!</v>
      </c>
    </row>
    <row r="898" spans="1:2" x14ac:dyDescent="0.35">
      <c r="A898" t="s">
        <v>100</v>
      </c>
      <c r="B898" t="e">
        <f>GETPIVOTDATA("AvgUnits",CollapsedManyRow!A1,"Region","North","City","East","Product","A","Channel","Retail")</f>
        <v>#REF!</v>
      </c>
    </row>
    <row r="899" spans="1:2" x14ac:dyDescent="0.35">
      <c r="A899" t="s">
        <v>100</v>
      </c>
      <c r="B899">
        <f>GETPIVOTDATA("AvgUnits",CollapsedManyRow!A1,"City","Unique")</f>
        <v>5</v>
      </c>
    </row>
    <row r="900" spans="1:2" x14ac:dyDescent="0.35">
      <c r="A900" t="s">
        <v>100</v>
      </c>
      <c r="B900">
        <f>GETPIVOTDATA("AvgUnits",CollapsedManyRow!A1,"Product","C")</f>
        <v>5</v>
      </c>
    </row>
    <row r="901" spans="1:2" x14ac:dyDescent="0.35">
      <c r="A901" t="s">
        <v>100</v>
      </c>
      <c r="B901">
        <f>GETPIVOTDATA("AvgUnits",CollapsedManyRow!A1,"Channel","Direct")</f>
        <v>5</v>
      </c>
    </row>
    <row r="902" spans="1:2" x14ac:dyDescent="0.35">
      <c r="A902" t="s">
        <v>100</v>
      </c>
      <c r="B902" t="e">
        <f>GETPIVOTDATA("AvgUnits",CollapsedManyRow!A1,"Region","North","City","missing")</f>
        <v>#REF!</v>
      </c>
    </row>
    <row r="903" spans="1:2" x14ac:dyDescent="0.35">
      <c r="A903" t="s">
        <v>100</v>
      </c>
      <c r="B903">
        <f>GETPIVOTDATA("AvgUnits",CollapsedManyRow!A1,"Region","West","City","Unique","Product","C","Channel","Direct")</f>
        <v>5</v>
      </c>
    </row>
    <row r="904" spans="1:2" x14ac:dyDescent="0.35">
      <c r="A904" t="s">
        <v>100</v>
      </c>
      <c r="B904">
        <f>GETPIVOTDATA("Entries",CollapsedManyRow!A1)</f>
        <v>11</v>
      </c>
    </row>
    <row r="905" spans="1:2" x14ac:dyDescent="0.35">
      <c r="A905" t="s">
        <v>100</v>
      </c>
      <c r="B905">
        <f>GETPIVOTDATA("Entries",CollapsedManyRow!A1,"Region","North")</f>
        <v>5</v>
      </c>
    </row>
    <row r="906" spans="1:2" x14ac:dyDescent="0.35">
      <c r="A906" t="s">
        <v>100</v>
      </c>
      <c r="B906" t="e">
        <f>GETPIVOTDATA("Entries",CollapsedManyRow!A1,"City","East")</f>
        <v>#REF!</v>
      </c>
    </row>
    <row r="907" spans="1:2" x14ac:dyDescent="0.35">
      <c r="A907" t="s">
        <v>100</v>
      </c>
      <c r="B907" t="e">
        <f>GETPIVOTDATA("Entries",CollapsedManyRow!A1,"Region","North","City","East")</f>
        <v>#REF!</v>
      </c>
    </row>
    <row r="908" spans="1:2" x14ac:dyDescent="0.35">
      <c r="A908" t="s">
        <v>100</v>
      </c>
      <c r="B908">
        <f>GETPIVOTDATA("Entries",CollapsedManyRow!A1,"Product","A")</f>
        <v>7</v>
      </c>
    </row>
    <row r="909" spans="1:2" x14ac:dyDescent="0.35">
      <c r="A909" t="s">
        <v>100</v>
      </c>
      <c r="B909">
        <f>GETPIVOTDATA("Entries",CollapsedManyRow!A1,"Region","North","Product","A")</f>
        <v>3</v>
      </c>
    </row>
    <row r="910" spans="1:2" x14ac:dyDescent="0.35">
      <c r="A910" t="s">
        <v>100</v>
      </c>
      <c r="B910" t="e">
        <f>GETPIVOTDATA("Entries",CollapsedManyRow!A1,"City","East","Product","A")</f>
        <v>#REF!</v>
      </c>
    </row>
    <row r="911" spans="1:2" x14ac:dyDescent="0.35">
      <c r="A911" t="s">
        <v>100</v>
      </c>
      <c r="B911" t="e">
        <f>GETPIVOTDATA("Entries",CollapsedManyRow!A1,"Region","North","City","East","Product","A")</f>
        <v>#REF!</v>
      </c>
    </row>
    <row r="912" spans="1:2" x14ac:dyDescent="0.35">
      <c r="A912" t="s">
        <v>100</v>
      </c>
      <c r="B912" t="e">
        <f>GETPIVOTDATA("Entries",CollapsedManyRow!A1,"Channel","Retail")</f>
        <v>#REF!</v>
      </c>
    </row>
    <row r="913" spans="1:2" x14ac:dyDescent="0.35">
      <c r="A913" t="s">
        <v>100</v>
      </c>
      <c r="B913" t="e">
        <f>GETPIVOTDATA("Entries",CollapsedManyRow!A1,"Region","North","Channel","Retail")</f>
        <v>#REF!</v>
      </c>
    </row>
    <row r="914" spans="1:2" x14ac:dyDescent="0.35">
      <c r="A914" t="s">
        <v>100</v>
      </c>
      <c r="B914" t="e">
        <f>GETPIVOTDATA("Entries",CollapsedManyRow!A1,"City","East","Channel","Retail")</f>
        <v>#REF!</v>
      </c>
    </row>
    <row r="915" spans="1:2" x14ac:dyDescent="0.35">
      <c r="A915" t="s">
        <v>100</v>
      </c>
      <c r="B915" t="e">
        <f>GETPIVOTDATA("Entries",CollapsedManyRow!A1,"Region","North","City","East","Channel","Retail")</f>
        <v>#REF!</v>
      </c>
    </row>
    <row r="916" spans="1:2" x14ac:dyDescent="0.35">
      <c r="A916" t="s">
        <v>100</v>
      </c>
      <c r="B916">
        <f>GETPIVOTDATA("Entries",CollapsedManyRow!A1,"Product","A","Channel","Retail")</f>
        <v>4</v>
      </c>
    </row>
    <row r="917" spans="1:2" x14ac:dyDescent="0.35">
      <c r="A917" t="s">
        <v>100</v>
      </c>
      <c r="B917">
        <f>GETPIVOTDATA("Entries",CollapsedManyRow!A1,"Region","North","Product","A","Channel","Retail")</f>
        <v>2</v>
      </c>
    </row>
    <row r="918" spans="1:2" x14ac:dyDescent="0.35">
      <c r="A918" t="s">
        <v>100</v>
      </c>
      <c r="B918" t="e">
        <f>GETPIVOTDATA("Entries",CollapsedManyRow!A1,"City","East","Product","A","Channel","Retail")</f>
        <v>#REF!</v>
      </c>
    </row>
    <row r="919" spans="1:2" x14ac:dyDescent="0.35">
      <c r="A919" t="s">
        <v>100</v>
      </c>
      <c r="B919" t="e">
        <f>GETPIVOTDATA("Entries",CollapsedManyRow!A1,"Region","North","City","East","Product","A","Channel","Retail")</f>
        <v>#REF!</v>
      </c>
    </row>
    <row r="920" spans="1:2" x14ac:dyDescent="0.35">
      <c r="A920" t="s">
        <v>100</v>
      </c>
      <c r="B920">
        <f>GETPIVOTDATA("Entries",CollapsedManyRow!A1,"City","Unique")</f>
        <v>0</v>
      </c>
    </row>
    <row r="921" spans="1:2" x14ac:dyDescent="0.35">
      <c r="A921" t="s">
        <v>100</v>
      </c>
      <c r="B921">
        <f>GETPIVOTDATA("Entries",CollapsedManyRow!A1,"Product","C")</f>
        <v>0</v>
      </c>
    </row>
    <row r="922" spans="1:2" x14ac:dyDescent="0.35">
      <c r="A922" t="s">
        <v>100</v>
      </c>
      <c r="B922">
        <f>GETPIVOTDATA("Entries",CollapsedManyRow!A1,"Channel","Direct")</f>
        <v>0</v>
      </c>
    </row>
    <row r="923" spans="1:2" x14ac:dyDescent="0.35">
      <c r="A923" t="s">
        <v>100</v>
      </c>
      <c r="B923" t="e">
        <f>GETPIVOTDATA("Entries",CollapsedManyRow!A1,"Region","North","City","missing")</f>
        <v>#REF!</v>
      </c>
    </row>
    <row r="924" spans="1:2" x14ac:dyDescent="0.35">
      <c r="A924" t="s">
        <v>100</v>
      </c>
      <c r="B924">
        <f>GETPIVOTDATA("Entries",CollapsedManyRow!A1,"Region","West","City","Unique","Product","C","Channel","Direct")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3ACF-D077-403D-9516-C01F5E9084DB}">
  <dimension ref="A1:F13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10</v>
      </c>
      <c r="F2">
        <v>2</v>
      </c>
    </row>
    <row r="3" spans="1:6" x14ac:dyDescent="0.35">
      <c r="A3" t="s">
        <v>10</v>
      </c>
      <c r="B3" t="s">
        <v>7</v>
      </c>
      <c r="C3" t="s">
        <v>11</v>
      </c>
      <c r="D3" t="s">
        <v>12</v>
      </c>
      <c r="E3">
        <v>20</v>
      </c>
      <c r="F3">
        <v>3</v>
      </c>
    </row>
    <row r="4" spans="1:6" x14ac:dyDescent="0.35">
      <c r="A4" t="s">
        <v>6</v>
      </c>
      <c r="B4" t="s">
        <v>13</v>
      </c>
      <c r="C4" t="s">
        <v>11</v>
      </c>
      <c r="D4" t="s">
        <v>9</v>
      </c>
      <c r="E4">
        <v>5</v>
      </c>
      <c r="F4">
        <v>1</v>
      </c>
    </row>
    <row r="5" spans="1:6" x14ac:dyDescent="0.35">
      <c r="A5" t="s">
        <v>10</v>
      </c>
      <c r="B5" t="s">
        <v>13</v>
      </c>
      <c r="C5" t="s">
        <v>8</v>
      </c>
      <c r="D5" t="s">
        <v>12</v>
      </c>
      <c r="E5">
        <v>15</v>
      </c>
      <c r="F5">
        <v>4</v>
      </c>
    </row>
    <row r="6" spans="1:6" x14ac:dyDescent="0.35">
      <c r="A6" t="s">
        <v>6</v>
      </c>
      <c r="B6" t="s">
        <v>7</v>
      </c>
      <c r="C6" t="s">
        <v>11</v>
      </c>
      <c r="D6" t="s">
        <v>12</v>
      </c>
      <c r="E6">
        <v>-2</v>
      </c>
      <c r="F6">
        <v>1</v>
      </c>
    </row>
    <row r="7" spans="1:6" x14ac:dyDescent="0.35">
      <c r="A7" t="s">
        <v>13</v>
      </c>
      <c r="B7" t="s">
        <v>14</v>
      </c>
      <c r="C7" t="s">
        <v>15</v>
      </c>
      <c r="D7" t="s">
        <v>16</v>
      </c>
      <c r="F7">
        <v>5</v>
      </c>
    </row>
    <row r="8" spans="1:6" x14ac:dyDescent="0.35">
      <c r="A8" t="s">
        <v>10</v>
      </c>
      <c r="B8" t="s">
        <v>7</v>
      </c>
      <c r="C8" t="s">
        <v>8</v>
      </c>
      <c r="D8" t="s">
        <v>9</v>
      </c>
      <c r="E8" t="s">
        <v>17</v>
      </c>
      <c r="F8">
        <v>2</v>
      </c>
    </row>
    <row r="9" spans="1:6" x14ac:dyDescent="0.35">
      <c r="A9" t="s">
        <v>6</v>
      </c>
      <c r="B9" t="s">
        <v>13</v>
      </c>
      <c r="C9" t="s">
        <v>8</v>
      </c>
      <c r="D9" t="s">
        <v>12</v>
      </c>
      <c r="E9" t="b">
        <v>1</v>
      </c>
      <c r="F9">
        <v>1</v>
      </c>
    </row>
    <row r="10" spans="1:6" x14ac:dyDescent="0.35">
      <c r="A10" t="s">
        <v>10</v>
      </c>
      <c r="B10" t="s">
        <v>7</v>
      </c>
      <c r="C10" t="s">
        <v>8</v>
      </c>
      <c r="D10" t="s">
        <v>12</v>
      </c>
      <c r="E10">
        <v>8</v>
      </c>
      <c r="F10">
        <v>2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>
        <v>3</v>
      </c>
      <c r="F11">
        <v>6</v>
      </c>
    </row>
    <row r="12" spans="1:6" x14ac:dyDescent="0.35">
      <c r="A12" t="s">
        <v>13</v>
      </c>
      <c r="B12" t="s">
        <v>7</v>
      </c>
      <c r="C12" t="s">
        <v>8</v>
      </c>
      <c r="D12" t="s">
        <v>9</v>
      </c>
      <c r="E12">
        <v>4</v>
      </c>
      <c r="F12">
        <v>2</v>
      </c>
    </row>
    <row r="13" spans="1:6" x14ac:dyDescent="0.35">
      <c r="A13" t="s">
        <v>10</v>
      </c>
      <c r="B13" t="s">
        <v>13</v>
      </c>
      <c r="C13" t="s">
        <v>11</v>
      </c>
      <c r="D13" t="s">
        <v>9</v>
      </c>
      <c r="E13">
        <v>7</v>
      </c>
      <c r="F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CollapsedManyRow</vt:lpstr>
      <vt:lpstr>CompactOuterRow</vt:lpstr>
      <vt:lpstr>CollapsedRow</vt:lpstr>
      <vt:lpstr>TopSubtotalRow3</vt:lpstr>
      <vt:lpstr>OutlineManyCol</vt:lpstr>
      <vt:lpstr>CompactManyRow</vt:lpstr>
      <vt:lpstr>NoSubtotal3</vt:lpstr>
      <vt:lpstr>NoGrand</vt:lpstr>
      <vt:lpstr>CustomTwo</vt:lpstr>
      <vt:lpstr>CustomSum</vt:lpstr>
      <vt:lpstr>NoSubtotals</vt:lpstr>
      <vt:lpstr>OuterRow</vt:lpstr>
      <vt:lpstr>OuterCol</vt:lpstr>
      <vt:lpstr>MiddleRow</vt:lpstr>
      <vt:lpstr>MiddleCol</vt:lpstr>
      <vt:lpstr>ManyRow</vt:lpstr>
      <vt:lpstr>ManyCol</vt:lpstr>
      <vt:lpstr>Col3</vt:lpstr>
      <vt:lpstr>Row3</vt:lpstr>
      <vt:lpstr>Both2</vt:lpstr>
      <vt:lpstr>Col2</vt:lpstr>
      <vt:lpstr>Row2</vt:lpstr>
      <vt:lpstr>Lookups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2026-09-27T15:32:19Z</dcterms:created>
  <dcterms:modified xsi:type="dcterms:W3CDTF">2026-09-27T15:32:34Z</dcterms:modified>
</cp:coreProperties>
</file>