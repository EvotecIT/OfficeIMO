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28F5529-0411-4F0E-A461-6B8DAAE1F59F}" xr6:coauthVersionLast="47" xr6:coauthVersionMax="47" xr10:uidLastSave="{00000000-0000-0000-0000-000000000000}"/>
  <bookViews>
    <workbookView xWindow="-120" yWindow="-120" windowWidth="38640" windowHeight="10320" xr2:uid="{EE56F695-C123-4066-B05B-0F112AE6FDE6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<sst xmlns="http://schemas.openxmlformats.org/spreadsheetml/2006/main" count="56" uniqueCount="15">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</sst>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31450578701" createdVersion="6" refreshedVersion="8" minRefreshableVersion="3" recordCount="12" xr:uid="{0BD774C1-724A-435D-A337-00076B8AF9C5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5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EA194-C54A-42C7-8673-54E0D4C355E6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F11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 v="1"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D0AB-2FE7-483C-BACF-BC8CC5EBBAE6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225</v>
      </c>
    </row>
    <row r="2" spans="2:2" x14ac:dyDescent="0.25">
      <c r="B2">
        <f>GETPIVOTDATA("Metric",Grouped!$A$4,"Region","East","Product","A","Channel","Retail")</f>
        <v>15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>
        <f>GETPIVOTDATA("Metric",Grouped!$A$4,"Region","East","Product","B","Channel","Partner")</f>
        <v>5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FAB8-76C8-45BE-9DBC-369C9DAB836C}">
  <dimension ref="A4:F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5" width="10.85546875" bestFit="1" customWidth="1"/>
    <col min="6" max="6" width="11.28515625" bestFit="1" customWidth="1"/>
  </cols>
  <sheetData>
    <row r="4" spans="1:6" x14ac:dyDescent="0.25">
      <c r="A4" s="1" t="s">
        <v>12</v>
      </c>
      <c r="C4" s="1" t="s">
        <v>2</v>
      </c>
    </row>
    <row r="5" spans="1:6" x14ac:dyDescent="0.25">
      <c r="A5" s="1" t="s">
        <v>0</v>
      </c>
      <c r="B5" s="1" t="s">
        <v>1</v>
      </c>
      <c r="C5" t="s">
        <v>7</v>
      </c>
      <c r="D5" t="s">
        <v>8</v>
      </c>
      <c r="E5" t="s">
        <v>6</v>
      </c>
      <c r="F5" t="s">
        <v>11</v>
      </c>
    </row>
    <row r="6" spans="1:6" x14ac:dyDescent="0.25">
      <c r="A6" t="s">
        <v>4</v>
      </c>
      <c r="B6" t="s">
        <v>5</v>
      </c>
      <c r="C6" s="2">
        <v>30</v>
      </c>
      <c r="D6" s="2">
        <v>20</v>
      </c>
      <c r="E6" s="2">
        <v>15</v>
      </c>
      <c r="F6" s="2">
        <v>65</v>
      </c>
    </row>
    <row r="7" spans="1:6" x14ac:dyDescent="0.25">
      <c r="B7" t="s">
        <v>9</v>
      </c>
      <c r="C7" s="2">
        <v>20</v>
      </c>
      <c r="D7" s="2">
        <v>5</v>
      </c>
      <c r="E7" s="2">
        <v>40</v>
      </c>
      <c r="F7" s="2">
        <v>65</v>
      </c>
    </row>
    <row r="8" spans="1:6" x14ac:dyDescent="0.25">
      <c r="A8" t="s">
        <v>13</v>
      </c>
      <c r="C8" s="2">
        <v>50</v>
      </c>
      <c r="D8" s="2">
        <v>25</v>
      </c>
      <c r="E8" s="2">
        <v>55</v>
      </c>
      <c r="F8" s="2">
        <v>130</v>
      </c>
    </row>
    <row r="9" spans="1:6" x14ac:dyDescent="0.25">
      <c r="A9" t="s">
        <v>10</v>
      </c>
      <c r="B9" t="s">
        <v>9</v>
      </c>
      <c r="C9" s="2">
        <v>15</v>
      </c>
      <c r="D9" s="2">
        <v>45</v>
      </c>
      <c r="E9" s="2">
        <v>35</v>
      </c>
      <c r="F9" s="2">
        <v>95</v>
      </c>
    </row>
    <row r="10" spans="1:6" x14ac:dyDescent="0.25">
      <c r="A10" t="s">
        <v>14</v>
      </c>
      <c r="C10" s="2">
        <v>15</v>
      </c>
      <c r="D10" s="2">
        <v>45</v>
      </c>
      <c r="E10" s="2">
        <v>35</v>
      </c>
      <c r="F10" s="2">
        <v>95</v>
      </c>
    </row>
    <row r="11" spans="1:6" x14ac:dyDescent="0.25">
      <c r="A11" t="s">
        <v>11</v>
      </c>
      <c r="C11" s="2">
        <v>65</v>
      </c>
      <c r="D11" s="2">
        <v>70</v>
      </c>
      <c r="E11" s="2">
        <v>90</v>
      </c>
      <c r="F11" s="2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EF9E-5F38-42E6-9705-5368AFDB16B8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15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2026-09-29T01:09:15Z</dcterms:created>
  <dcterms:modified xsi:type="dcterms:W3CDTF">2026-09-29T01:09:18Z</dcterms:modified>
</cp:coreProperties>
</file>