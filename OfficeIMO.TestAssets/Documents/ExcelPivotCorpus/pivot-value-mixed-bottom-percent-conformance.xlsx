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974E9C66-02CE-41C8-A891-BFA9D6DF0EDC}" xr6:coauthVersionLast="47" xr6:coauthVersionMax="47" xr10:uidLastSave="{00000000-0000-0000-0000-000000000000}"/>
  <bookViews>
    <workbookView xWindow="-110" yWindow="-110" windowWidth="38620" windowHeight="21100" xr2:uid="{4DC347E5-5A4C-4B2B-975D-0B21299FC8F4}"/>
  </bookViews>
  <sheets>
    <sheet name="Lookups" sheetId="3" r:id="rId1"/>
    <sheet name="Grouped" sheetId="2" r:id="rId2"/>
    <sheet name="Source" sheetId="1" r:id="rId3"/>
  </sheets>
  <calcPr calcId="191029"/>
  <pivotCaches>
    <pivotCache cacheId="6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<sst xmlns="http://schemas.openxmlformats.org/spreadsheetml/2006/main" count="17" uniqueCount="10">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</sst>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04807870371" createdVersion="6" refreshedVersion="8" minRefreshableVersion="3" recordCount="6" xr:uid="{7CAA5763-F3DD-4274-97EF-6CA4B140B321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-4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-40"/>
  </r>
  <r>
    <x v="1"/>
    <n v="-10"/>
  </r>
  <r>
    <x v="2"/>
    <n v="0"/>
  </r>
  <r>
    <x v="3"/>
    <n v="20"/>
  </r>
  <r>
    <x v="4"/>
    <n v="3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9AAD3-757B-4D5E-96A2-677E548DFBA1}" name="ValuePivot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1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top="0" percent="1"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EAFB-F035-4030-AAA0-5B969050DE71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50</v>
      </c>
    </row>
    <row r="2" spans="2:2" x14ac:dyDescent="0.35">
      <c r="B2">
        <f>GETPIVOTDATA("Metric",Grouped!$A$4,"Region","Alpha")</f>
        <v>-40</v>
      </c>
    </row>
    <row r="3" spans="2:2" x14ac:dyDescent="0.35">
      <c r="B3">
        <f>GETPIVOTDATA("Metric",Grouped!$A$4,"Region","Bravo")</f>
        <v>-10</v>
      </c>
    </row>
    <row r="4" spans="2:2" x14ac:dyDescent="0.35">
      <c r="B4">
        <f>GETPIVOTDATA("Metric",Grouped!$A$4,"Region","Charlie")</f>
        <v>0</v>
      </c>
    </row>
    <row r="5" spans="2:2" x14ac:dyDescent="0.35">
      <c r="B5">
        <f>GETPIVOTDATA("Metric",Grouped!$A$4,"Region","Delta")</f>
        <v>20</v>
      </c>
    </row>
    <row r="6" spans="2:2" x14ac:dyDescent="0.35">
      <c r="B6">
        <f>GETPIVOTDATA("Metric",Grouped!$A$4,"Region","Echo")</f>
        <v>30</v>
      </c>
    </row>
    <row r="7" spans="2:2" x14ac:dyDescent="0.35">
      <c r="B7">
        <f>GETPIVOTDATA("Metric",Grouped!$A$4,"Region","Foxtrot")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EBFB-FBBD-4C6A-B50F-FEA060D921CA}">
  <dimension ref="A4:B11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-40</v>
      </c>
    </row>
    <row r="6" spans="1:2" x14ac:dyDescent="0.35">
      <c r="A6" t="s">
        <v>3</v>
      </c>
      <c r="B6" s="2">
        <v>-10</v>
      </c>
    </row>
    <row r="7" spans="1:2" x14ac:dyDescent="0.35">
      <c r="A7" t="s">
        <v>4</v>
      </c>
      <c r="B7" s="2">
        <v>0</v>
      </c>
    </row>
    <row r="8" spans="1:2" x14ac:dyDescent="0.35">
      <c r="A8" t="s">
        <v>5</v>
      </c>
      <c r="B8" s="2">
        <v>20</v>
      </c>
    </row>
    <row r="9" spans="1:2" x14ac:dyDescent="0.35">
      <c r="A9" t="s">
        <v>6</v>
      </c>
      <c r="B9" s="2">
        <v>30</v>
      </c>
    </row>
    <row r="10" spans="1:2" x14ac:dyDescent="0.35">
      <c r="A10" t="s">
        <v>7</v>
      </c>
      <c r="B10" s="2">
        <v>50</v>
      </c>
    </row>
    <row r="11" spans="1:2" x14ac:dyDescent="0.35">
      <c r="A11" t="s">
        <v>8</v>
      </c>
      <c r="B11" s="2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1E43-4BD0-4F35-B7F7-F741BB407CA0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-40</v>
      </c>
    </row>
    <row r="3" spans="1:2" x14ac:dyDescent="0.35">
      <c r="A3" t="s">
        <v>3</v>
      </c>
      <c r="B3">
        <v>-10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20</v>
      </c>
    </row>
    <row r="6" spans="1:2" x14ac:dyDescent="0.35">
      <c r="A6" t="s">
        <v>6</v>
      </c>
      <c r="B6">
        <v>30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2026-09-28T07:42:55Z</dcterms:created>
  <dcterms:modified xsi:type="dcterms:W3CDTF">2026-09-28T07:42:55Z</dcterms:modified>
</cp:coreProperties>
</file>