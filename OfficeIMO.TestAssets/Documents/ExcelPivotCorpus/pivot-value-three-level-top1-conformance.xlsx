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90165F34-3764-4EB4-8312-F0757F3FF694}" xr6:coauthVersionLast="47" xr6:coauthVersionMax="47" xr10:uidLastSave="{00000000-0000-0000-0000-000000000000}"/>
  <bookViews>
    <workbookView xWindow="-120" yWindow="-120" windowWidth="38640" windowHeight="10320" xr2:uid="{92DDCB10-19A3-4D34-9C91-7EE1475B92C5}"/>
  </bookViews>
  <sheets>
    <sheet name="Lookups" sheetId="3" r:id="rId1"/>
    <sheet name="Grouped" sheetId="2" r:id="rId2"/>
    <sheet name="Source" sheetId="1" r:id="rId3"/>
  </sheet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9" i="3" l="1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<sst xmlns="http://schemas.openxmlformats.org/spreadsheetml/2006/main" count="49" uniqueCount="16">
  <si>
    <t>Region</t>
  </si>
  <si>
    <t>Product</t>
  </si>
  <si>
    <t>Channel</t>
  </si>
  <si>
    <t>Sales</t>
  </si>
  <si>
    <t>East</t>
  </si>
  <si>
    <t>A</t>
  </si>
  <si>
    <t>Retail</t>
  </si>
  <si>
    <t>Online</t>
  </si>
  <si>
    <t>B</t>
  </si>
  <si>
    <t>West</t>
  </si>
  <si>
    <t>Grand Total</t>
  </si>
  <si>
    <t>Metric</t>
  </si>
  <si>
    <t>A Total</t>
  </si>
  <si>
    <t>B Total</t>
  </si>
  <si>
    <t>East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</si>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</sst>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064712268519" createdVersion="6" refreshedVersion="8" minRefreshableVersion="3" recordCount="8" xr:uid="{E60EE288-612A-46CB-8124-761FD2D5BF82}">
  <cacheSource type="worksheet">
    <worksheetSource ref="A1:D9" sheet="Source"/>
  </cacheSource>
  <cacheFields count="4">
    <cacheField name="Region" numFmtId="0">
      <sharedItems count="2">
        <s v="East"/>
        <s v="West"/>
      </sharedItems>
    </cacheField>
    <cacheField name="Product" numFmtId="0">
      <sharedItems count="2">
        <s v="A"/>
        <s v="B"/>
      </sharedItems>
    </cacheField>
    <cacheField name="Channel" numFmtId="0">
      <sharedItems count="2">
        <s v="Retail"/>
        <s v="Online"/>
      </sharedItems>
    </cacheField>
    <cacheField name="Sales" numFmtId="0">
      <sharedItems containsSemiMixedTypes="0" containsString="0" containsNumber="1" containsInteger="1" minValue="5" maxValue="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x v="0"/>
    <n v="10"/>
  </r>
  <r>
    <x v="0"/>
    <x v="0"/>
    <x v="1"/>
    <n v="30"/>
  </r>
  <r>
    <x v="0"/>
    <x v="1"/>
    <x v="0"/>
    <n v="40"/>
  </r>
  <r>
    <x v="0"/>
    <x v="1"/>
    <x v="1"/>
    <n v="20"/>
  </r>
  <r>
    <x v="1"/>
    <x v="0"/>
    <x v="0"/>
    <n v="5"/>
  </r>
  <r>
    <x v="1"/>
    <x v="0"/>
    <x v="1"/>
    <n v="25"/>
  </r>
  <r>
    <x v="1"/>
    <x v="1"/>
    <x v="0"/>
    <n v="35"/>
  </r>
  <r>
    <x v="1"/>
    <x v="1"/>
    <x v="1"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AA8423-7A22-4E60-845F-181F6B51B8A5}" name="ValuePivot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D15" firstHeaderRow="1" firstDataRow="1" firstDataCol="3"/>
  <pivotFields count="4">
    <pivotField axis="axisRow" compact="0" outline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Row" compact="0" outline="0" showAll="0" measureFilter="1">
      <items count="3">
        <item x="1"/>
        <item x="0"/>
        <item t="default"/>
      </items>
    </pivotField>
    <pivotField dataField="1" compact="0" outline="0" showAll="0"/>
  </pivotFields>
  <rowFields count="3">
    <field x="0"/>
    <field x="1"/>
    <field x="2"/>
  </rowFields>
  <rowItems count="11">
    <i>
      <x/>
      <x/>
      <x/>
    </i>
    <i t="default" r="1">
      <x/>
    </i>
    <i r="1">
      <x v="1"/>
      <x v="1"/>
    </i>
    <i t="default" r="1">
      <x v="1"/>
    </i>
    <i t="default">
      <x/>
    </i>
    <i>
      <x v="1"/>
      <x/>
      <x/>
    </i>
    <i t="default" r="1">
      <x/>
    </i>
    <i r="1">
      <x v="1"/>
      <x v="1"/>
    </i>
    <i t="default" r="1">
      <x v="1"/>
    </i>
    <i t="default">
      <x v="1"/>
    </i>
    <i t="grand">
      <x/>
    </i>
  </rowItems>
  <colItems count="1">
    <i/>
  </colItems>
  <dataFields count="1">
    <dataField name="Metric" fld="3" baseField="0" baseItem="0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8C5D1-E6A9-4406-AFCD-104C9C64EAD4}">
  <dimension ref="B1:B9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130</v>
      </c>
    </row>
    <row r="2" spans="2:2" x14ac:dyDescent="0.25">
      <c r="B2" t="e">
        <f>GETPIVOTDATA("Metric",Grouped!$A$4,"Region","East","Product","A","Channel","Retail")</f>
        <v>#REF!</v>
      </c>
    </row>
    <row r="3" spans="2:2" x14ac:dyDescent="0.25">
      <c r="B3">
        <f>GETPIVOTDATA("Metric",Grouped!$A$4,"Region","East","Product","A","Channel","Online")</f>
        <v>30</v>
      </c>
    </row>
    <row r="4" spans="2:2" x14ac:dyDescent="0.25">
      <c r="B4">
        <f>GETPIVOTDATA("Metric",Grouped!$A$4,"Region","East","Product","B","Channel","Retail")</f>
        <v>40</v>
      </c>
    </row>
    <row r="5" spans="2:2" x14ac:dyDescent="0.25">
      <c r="B5" t="e">
        <f>GETPIVOTDATA("Metric",Grouped!$A$4,"Region","East","Product","B","Channel","Online")</f>
        <v>#REF!</v>
      </c>
    </row>
    <row r="6" spans="2:2" x14ac:dyDescent="0.25">
      <c r="B6" t="e">
        <f>GETPIVOTDATA("Metric",Grouped!$A$4,"Region","West","Product","A","Channel","Retail")</f>
        <v>#REF!</v>
      </c>
    </row>
    <row r="7" spans="2:2" x14ac:dyDescent="0.25">
      <c r="B7">
        <f>GETPIVOTDATA("Metric",Grouped!$A$4,"Region","West","Product","A","Channel","Online")</f>
        <v>25</v>
      </c>
    </row>
    <row r="8" spans="2:2" x14ac:dyDescent="0.25">
      <c r="B8">
        <f>GETPIVOTDATA("Metric",Grouped!$A$4,"Region","West","Product","B","Channel","Retail")</f>
        <v>35</v>
      </c>
    </row>
    <row r="9" spans="2:2" x14ac:dyDescent="0.25">
      <c r="B9" t="e">
        <f>GETPIVOTDATA("Metric",Grouped!$A$4,"Region","West","Product","B","Channel","Online")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C191-A1C2-4B88-8971-73C36FA4B3A2}">
  <dimension ref="A4:D15"/>
  <sheetViews>
    <sheetView workbookViewId="0"/>
  </sheetViews>
  <sheetFormatPr defaultRowHeight="15" x14ac:dyDescent="0.25"/>
  <cols>
    <col min="1" max="1" width="13.42578125" bestFit="1" customWidth="1"/>
    <col min="2" max="2" width="6.7109375" bestFit="1" customWidth="1"/>
    <col min="3" max="3" width="10.85546875" bestFit="1" customWidth="1"/>
    <col min="4" max="4" width="6.7109375" bestFit="1" customWidth="1"/>
  </cols>
  <sheetData>
    <row r="4" spans="1:4" x14ac:dyDescent="0.25">
      <c r="A4" s="1" t="s">
        <v>0</v>
      </c>
      <c r="B4" s="1" t="s">
        <v>1</v>
      </c>
      <c r="C4" s="1" t="s">
        <v>2</v>
      </c>
      <c r="D4" t="s">
        <v>11</v>
      </c>
    </row>
    <row r="5" spans="1:4" x14ac:dyDescent="0.25">
      <c r="A5" t="s">
        <v>4</v>
      </c>
      <c r="B5" t="s">
        <v>5</v>
      </c>
      <c r="C5" t="s">
        <v>7</v>
      </c>
      <c r="D5" s="2">
        <v>30</v>
      </c>
    </row>
    <row r="6" spans="1:4" x14ac:dyDescent="0.25">
      <c r="B6" t="s">
        <v>12</v>
      </c>
      <c r="D6" s="2">
        <v>30</v>
      </c>
    </row>
    <row r="7" spans="1:4" x14ac:dyDescent="0.25">
      <c r="B7" t="s">
        <v>8</v>
      </c>
      <c r="C7" t="s">
        <v>6</v>
      </c>
      <c r="D7" s="2">
        <v>40</v>
      </c>
    </row>
    <row r="8" spans="1:4" x14ac:dyDescent="0.25">
      <c r="B8" t="s">
        <v>13</v>
      </c>
      <c r="D8" s="2">
        <v>40</v>
      </c>
    </row>
    <row r="9" spans="1:4" x14ac:dyDescent="0.25">
      <c r="A9" t="s">
        <v>14</v>
      </c>
      <c r="D9" s="2">
        <v>70</v>
      </c>
    </row>
    <row r="10" spans="1:4" x14ac:dyDescent="0.25">
      <c r="A10" t="s">
        <v>9</v>
      </c>
      <c r="B10" t="s">
        <v>5</v>
      </c>
      <c r="C10" t="s">
        <v>7</v>
      </c>
      <c r="D10" s="2">
        <v>25</v>
      </c>
    </row>
    <row r="11" spans="1:4" x14ac:dyDescent="0.25">
      <c r="B11" t="s">
        <v>12</v>
      </c>
      <c r="D11" s="2">
        <v>25</v>
      </c>
    </row>
    <row r="12" spans="1:4" x14ac:dyDescent="0.25">
      <c r="B12" t="s">
        <v>8</v>
      </c>
      <c r="C12" t="s">
        <v>6</v>
      </c>
      <c r="D12" s="2">
        <v>35</v>
      </c>
    </row>
    <row r="13" spans="1:4" x14ac:dyDescent="0.25">
      <c r="B13" t="s">
        <v>13</v>
      </c>
      <c r="D13" s="2">
        <v>35</v>
      </c>
    </row>
    <row r="14" spans="1:4" x14ac:dyDescent="0.25">
      <c r="A14" t="s">
        <v>15</v>
      </c>
      <c r="D14" s="2">
        <v>60</v>
      </c>
    </row>
    <row r="15" spans="1:4" x14ac:dyDescent="0.25">
      <c r="A15" t="s">
        <v>10</v>
      </c>
      <c r="D15" s="2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ABD28-380E-4D99-BF85-538828C8AE04}">
  <dimension ref="A1:D9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10</v>
      </c>
    </row>
    <row r="3" spans="1:4" x14ac:dyDescent="0.25">
      <c r="A3" t="s">
        <v>4</v>
      </c>
      <c r="B3" t="s">
        <v>5</v>
      </c>
      <c r="C3" t="s">
        <v>7</v>
      </c>
      <c r="D3">
        <v>30</v>
      </c>
    </row>
    <row r="4" spans="1:4" x14ac:dyDescent="0.25">
      <c r="A4" t="s">
        <v>4</v>
      </c>
      <c r="B4" t="s">
        <v>8</v>
      </c>
      <c r="C4" t="s">
        <v>6</v>
      </c>
      <c r="D4">
        <v>40</v>
      </c>
    </row>
    <row r="5" spans="1:4" x14ac:dyDescent="0.25">
      <c r="A5" t="s">
        <v>4</v>
      </c>
      <c r="B5" t="s">
        <v>8</v>
      </c>
      <c r="C5" t="s">
        <v>7</v>
      </c>
      <c r="D5">
        <v>20</v>
      </c>
    </row>
    <row r="6" spans="1:4" x14ac:dyDescent="0.25">
      <c r="A6" t="s">
        <v>9</v>
      </c>
      <c r="B6" t="s">
        <v>5</v>
      </c>
      <c r="C6" t="s">
        <v>6</v>
      </c>
      <c r="D6">
        <v>5</v>
      </c>
    </row>
    <row r="7" spans="1:4" x14ac:dyDescent="0.25">
      <c r="A7" t="s">
        <v>9</v>
      </c>
      <c r="B7" t="s">
        <v>5</v>
      </c>
      <c r="C7" t="s">
        <v>7</v>
      </c>
      <c r="D7">
        <v>25</v>
      </c>
    </row>
    <row r="8" spans="1:4" x14ac:dyDescent="0.25">
      <c r="A8" t="s">
        <v>9</v>
      </c>
      <c r="B8" t="s">
        <v>8</v>
      </c>
      <c r="C8" t="s">
        <v>6</v>
      </c>
      <c r="D8">
        <v>35</v>
      </c>
    </row>
    <row r="9" spans="1:4" x14ac:dyDescent="0.25">
      <c r="A9" t="s">
        <v>9</v>
      </c>
      <c r="B9" t="s">
        <v>8</v>
      </c>
      <c r="C9" t="s">
        <v>7</v>
      </c>
      <c r="D9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2026-09-28T23:33:10Z</dcterms:created>
  <dcterms:modified xsi:type="dcterms:W3CDTF">2026-09-28T23:33:11Z</dcterms:modified>
</cp:coreProperties>
</file>