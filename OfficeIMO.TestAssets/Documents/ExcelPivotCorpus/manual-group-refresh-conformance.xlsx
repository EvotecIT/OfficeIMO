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06CCCC8A-3142-40EE-821F-C5CECBBC2F14}" xr6:coauthVersionLast="47" xr6:coauthVersionMax="47" xr10:uidLastSave="{00000000-0000-0000-0000-000000000000}"/>
  <bookViews>
    <workbookView xWindow="-110" yWindow="-110" windowWidth="38620" windowHeight="21100" xr2:uid="{1105D280-D8D1-4DD9-B99A-A4A2BCFD849D}"/>
  </bookViews>
  <sheets>
    <sheet name="Lookups" sheetId="3" r:id="rId1"/>
    <sheet name="Grouped" sheetId="2" r:id="rId2"/>
    <sheet name="Source" sheetId="1" r:id="rId3"/>
  </sheets>
  <calcPr calcId="191029"/>
  <pivotCaches>
    <pivotCache cacheId="1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3" l="1"/>
  <c r="B5" i="3"/>
  <c r="B4" i="3"/>
  <c r="B3" i="3"/>
  <c r="B2" i="3"/>
  <c r="B1" i="3"/>
</calcChain>
</file>

<file path=xl/sharedStrings.xml><?xml version="1.0" encoding="utf-8"?>
<sst xmlns="http://schemas.openxmlformats.org/spreadsheetml/2006/main" count="27" uniqueCount="15">
  <si>
    <t>Product</t>
  </si>
  <si>
    <t>Sales</t>
  </si>
  <si>
    <t>Apple</t>
  </si>
  <si>
    <t>Pear</t>
  </si>
  <si>
    <t>Carrot</t>
  </si>
  <si>
    <t>Broccoli</t>
  </si>
  <si>
    <t>Grand Total</t>
  </si>
  <si>
    <t>Metric</t>
  </si>
  <si>
    <t>Product2</t>
  </si>
  <si>
    <t>Broccoli Total</t>
  </si>
  <si>
    <t>Carrot Total</t>
  </si>
  <si>
    <t>Fruit</t>
  </si>
  <si>
    <t>Fruit Total</t>
  </si>
  <si>
    <t>Grand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</si>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</sst>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225097916664" createdVersion="6" refreshedVersion="8" minRefreshableVersion="3" recordCount="5" xr:uid="{60E02490-82F6-4F03-822D-1BF7123691E1}">
  <cacheSource type="worksheet">
    <worksheetSource ref="A1:B6" sheet="Source"/>
  </cacheSource>
  <cacheFields count="3">
    <cacheField name="Product" numFmtId="0">
      <sharedItems count="4">
        <s v="Carrot"/>
        <s v="Pear"/>
        <s v="Broccoli"/>
        <s v="Apple"/>
      </sharedItems>
      <fieldGroup par="2"/>
    </cacheField>
    <cacheField name="Sales" numFmtId="0">
      <sharedItems containsSemiMixedTypes="0" containsString="0" containsNumber="1" containsInteger="1" minValue="5" maxValue="40"/>
    </cacheField>
    <cacheField name="Product2" numFmtId="0" databaseField="0">
      <fieldGroup base="0">
        <discretePr count="4">
          <x v="0"/>
          <x v="2"/>
          <x v="1"/>
          <x v="2"/>
        </discretePr>
        <groupItems count="3">
          <s v="Carrot"/>
          <s v="Broccoli"/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0"/>
  </r>
  <r>
    <x v="1"/>
    <n v="20"/>
  </r>
  <r>
    <x v="0"/>
    <n v="30"/>
  </r>
  <r>
    <x v="2"/>
    <n v="40"/>
  </r>
  <r>
    <x v="3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3136A5-4CCD-4919-917E-35F0EDA5A3A1}" name="PivotManualGrouped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12" firstHeaderRow="1" firstDataRow="1" firstDataCol="2"/>
  <pivotFields count="3">
    <pivotField axis="axisRow" compact="0" outline="0" showAll="0">
      <items count="5">
        <item x="3"/>
        <item x="2"/>
        <item x="0"/>
        <item x="1"/>
        <item t="default"/>
      </items>
    </pivotField>
    <pivotField dataField="1" compact="0" outline="0" showAll="0"/>
    <pivotField axis="axisRow" compact="0" outline="0" showAll="0">
      <items count="4">
        <item n="Fruit" x="2"/>
        <item x="1"/>
        <item x="0"/>
        <item t="default"/>
      </items>
    </pivotField>
  </pivotFields>
  <rowFields count="2">
    <field x="2"/>
    <field x="0"/>
  </rowFields>
  <rowItems count="8">
    <i>
      <x/>
      <x/>
    </i>
    <i r="1">
      <x v="3"/>
    </i>
    <i t="default">
      <x/>
    </i>
    <i>
      <x v="1"/>
      <x v="1"/>
    </i>
    <i t="default">
      <x v="1"/>
    </i>
    <i>
      <x v="2"/>
      <x v="2"/>
    </i>
    <i t="default">
      <x v="2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BF31C-9422-425F-AD4B-7FF34B337780}">
  <dimension ref="A1:B6"/>
  <sheetViews>
    <sheetView tabSelected="1" workbookViewId="0"/>
  </sheetViews>
  <sheetFormatPr defaultRowHeight="14.5" x14ac:dyDescent="0.35"/>
  <sheetData>
    <row r="1" spans="1:2" x14ac:dyDescent="0.35">
      <c r="A1" t="s">
        <v>13</v>
      </c>
      <c r="B1">
        <f>GETPIVOTDATA("Metric",Grouped!$A$4)</f>
        <v>105</v>
      </c>
    </row>
    <row r="2" spans="1:2" x14ac:dyDescent="0.35">
      <c r="A2" t="s">
        <v>11</v>
      </c>
      <c r="B2">
        <f>GETPIVOTDATA("Metric",Grouped!$A$4,"Product2","Fruit")</f>
        <v>25</v>
      </c>
    </row>
    <row r="3" spans="1:2" x14ac:dyDescent="0.35">
      <c r="A3" t="s">
        <v>2</v>
      </c>
      <c r="B3">
        <f>GETPIVOTDATA("Metric",Grouped!$A$4,"Product2","Fruit","Product","Apple")</f>
        <v>5</v>
      </c>
    </row>
    <row r="4" spans="1:2" x14ac:dyDescent="0.35">
      <c r="A4" t="s">
        <v>3</v>
      </c>
      <c r="B4">
        <f>GETPIVOTDATA("Metric",Grouped!$A$4,"Product2","Fruit","Product","Pear")</f>
        <v>20</v>
      </c>
    </row>
    <row r="5" spans="1:2" x14ac:dyDescent="0.35">
      <c r="A5" t="s">
        <v>4</v>
      </c>
      <c r="B5">
        <f>GETPIVOTDATA("Metric",Grouped!$A$4,"Product2","Carrot")</f>
        <v>40</v>
      </c>
    </row>
    <row r="6" spans="1:2" x14ac:dyDescent="0.35">
      <c r="A6" t="s">
        <v>14</v>
      </c>
      <c r="B6" t="e">
        <f>GETPIVOTDATA("Metric",Grouped!$A$4,"Product2","Unknown")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C116E-6A9A-4B4D-AF30-A74267F7271A}">
  <dimension ref="A4:C12"/>
  <sheetViews>
    <sheetView workbookViewId="0"/>
  </sheetViews>
  <sheetFormatPr defaultRowHeight="14.5" x14ac:dyDescent="0.35"/>
  <cols>
    <col min="1" max="1" width="10.36328125" bestFit="1" customWidth="1"/>
    <col min="2" max="2" width="9.6328125" bestFit="1" customWidth="1"/>
    <col min="3" max="3" width="6.08984375" bestFit="1" customWidth="1"/>
  </cols>
  <sheetData>
    <row r="4" spans="1:3" x14ac:dyDescent="0.35">
      <c r="A4" s="1" t="s">
        <v>8</v>
      </c>
      <c r="B4" s="1" t="s">
        <v>0</v>
      </c>
      <c r="C4" t="s">
        <v>7</v>
      </c>
    </row>
    <row r="5" spans="1:3" x14ac:dyDescent="0.35">
      <c r="A5" t="s">
        <v>11</v>
      </c>
      <c r="B5" t="s">
        <v>2</v>
      </c>
      <c r="C5" s="2">
        <v>5</v>
      </c>
    </row>
    <row r="6" spans="1:3" x14ac:dyDescent="0.35">
      <c r="B6" t="s">
        <v>3</v>
      </c>
      <c r="C6" s="2">
        <v>20</v>
      </c>
    </row>
    <row r="7" spans="1:3" x14ac:dyDescent="0.35">
      <c r="A7" t="s">
        <v>12</v>
      </c>
      <c r="C7" s="2">
        <v>25</v>
      </c>
    </row>
    <row r="8" spans="1:3" x14ac:dyDescent="0.35">
      <c r="A8" t="s">
        <v>5</v>
      </c>
      <c r="B8" t="s">
        <v>5</v>
      </c>
      <c r="C8" s="2">
        <v>40</v>
      </c>
    </row>
    <row r="9" spans="1:3" x14ac:dyDescent="0.35">
      <c r="A9" t="s">
        <v>9</v>
      </c>
      <c r="C9" s="2">
        <v>40</v>
      </c>
    </row>
    <row r="10" spans="1:3" x14ac:dyDescent="0.35">
      <c r="A10" t="s">
        <v>4</v>
      </c>
      <c r="B10" t="s">
        <v>4</v>
      </c>
      <c r="C10" s="2">
        <v>40</v>
      </c>
    </row>
    <row r="11" spans="1:3" x14ac:dyDescent="0.35">
      <c r="A11" t="s">
        <v>10</v>
      </c>
      <c r="C11" s="2">
        <v>40</v>
      </c>
    </row>
    <row r="12" spans="1:3" x14ac:dyDescent="0.35">
      <c r="A12" t="s">
        <v>6</v>
      </c>
      <c r="C12" s="2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08F44-FD97-4A3F-93B0-3B9BC199B328}">
  <dimension ref="A1:B6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4</v>
      </c>
      <c r="B2">
        <v>10</v>
      </c>
    </row>
    <row r="3" spans="1:2" x14ac:dyDescent="0.35">
      <c r="A3" t="s">
        <v>3</v>
      </c>
      <c r="B3">
        <v>20</v>
      </c>
    </row>
    <row r="4" spans="1:2" x14ac:dyDescent="0.35">
      <c r="A4" t="s">
        <v>4</v>
      </c>
      <c r="B4">
        <v>30</v>
      </c>
    </row>
    <row r="5" spans="1:2" x14ac:dyDescent="0.35">
      <c r="A5" t="s">
        <v>5</v>
      </c>
      <c r="B5">
        <v>40</v>
      </c>
    </row>
    <row r="6" spans="1:2" x14ac:dyDescent="0.35">
      <c r="A6" t="s">
        <v>2</v>
      </c>
      <c r="B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2026-09-28T03:24:07Z</dcterms:created>
  <dcterms:modified xsi:type="dcterms:W3CDTF">2026-09-28T03:24:08Z</dcterms:modified>
</cp:coreProperties>
</file>