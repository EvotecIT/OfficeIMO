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B2E3E937-26AC-49CD-9A15-429FB356F0F2}" xr6:coauthVersionLast="47" xr6:coauthVersionMax="47" xr10:uidLastSave="{00000000-0000-0000-0000-000000000000}"/>
  <bookViews>
    <workbookView xWindow="-120" yWindow="-120" windowWidth="38640" windowHeight="10320" xr2:uid="{09566ABE-1EB1-4D76-9C63-D43543540C66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3" l="1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<sst xmlns="http://schemas.openxmlformats.org/spreadsheetml/2006/main" count="56" uniqueCount="15">
  <si>
    <t>Region</t>
  </si>
  <si>
    <t>Product</t>
  </si>
  <si>
    <t>Channel</t>
  </si>
  <si>
    <t>Sales</t>
  </si>
  <si>
    <t>East</t>
  </si>
  <si>
    <t>A</t>
  </si>
  <si>
    <t>Retail</t>
  </si>
  <si>
    <t>Online</t>
  </si>
  <si>
    <t>Partner</t>
  </si>
  <si>
    <t>B</t>
  </si>
  <si>
    <t>West</t>
  </si>
  <si>
    <t>Grand Total</t>
  </si>
  <si>
    <t>Metric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</si>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</sst>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120847569444" createdVersion="6" refreshedVersion="8" minRefreshableVersion="3" recordCount="12" xr:uid="{742A091B-60D4-4A86-A582-9819F822ECCB}">
  <cacheSource type="worksheet">
    <worksheetSource ref="A1:D13" sheet="Source"/>
  </cacheSource>
  <cacheFields count="4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3">
        <s v="Retail"/>
        <s v="Online"/>
        <s v="Partner"/>
      </sharedItems>
    </cacheField>
    <cacheField name="Sales" numFmtId="0">
      <sharedItems containsSemiMixedTypes="0" containsString="0" containsNumber="1" containsInteger="1" minValue="5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0"/>
  </r>
  <r>
    <x v="0"/>
    <x v="0"/>
    <x v="1"/>
    <n v="30"/>
  </r>
  <r>
    <x v="0"/>
    <x v="0"/>
    <x v="2"/>
    <n v="20"/>
  </r>
  <r>
    <x v="0"/>
    <x v="1"/>
    <x v="0"/>
    <n v="40"/>
  </r>
  <r>
    <x v="0"/>
    <x v="1"/>
    <x v="1"/>
    <n v="20"/>
  </r>
  <r>
    <x v="0"/>
    <x v="1"/>
    <x v="2"/>
    <n v="5"/>
  </r>
  <r>
    <x v="1"/>
    <x v="0"/>
    <x v="0"/>
    <n v="5"/>
  </r>
  <r>
    <x v="1"/>
    <x v="0"/>
    <x v="1"/>
    <n v="25"/>
  </r>
  <r>
    <x v="1"/>
    <x v="0"/>
    <x v="2"/>
    <n v="15"/>
  </r>
  <r>
    <x v="1"/>
    <x v="1"/>
    <x v="0"/>
    <n v="35"/>
  </r>
  <r>
    <x v="1"/>
    <x v="1"/>
    <x v="1"/>
    <n v="15"/>
  </r>
  <r>
    <x v="1"/>
    <x v="1"/>
    <x v="2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98E9FE-4436-44C8-90AE-1747172C3E39}" name="Value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E12" firstHeaderRow="1" firstDataRow="2" firstDataCol="2"/>
  <pivotFields count="4"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 measureFilter="1">
      <items count="4">
        <item x="1"/>
        <item x="2"/>
        <item x="0"/>
        <item t="default"/>
      </items>
    </pivotField>
    <pivotField dataField="1" compact="0" outline="0" showAll="0"/>
  </pivotFields>
  <rowFields count="2">
    <field x="0"/>
    <field x="1"/>
  </rowFields>
  <row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Metric" fld="3" baseField="0" baseItem="0"/>
  </dataFields>
  <pivotTableStyleInfo name="PivotStyleLight16" showRowHeaders="1" showColHeaders="1" showRowStripes="0" showColStripes="0" showLastColumn="1"/>
  <filters count="1">
    <filter fld="2" type="valueGreaterThan" evalOrder="-1" id="1" iMeasureFld="0">
      <autoFilter ref="A1">
        <filterColumn colId="0">
          <customFilters>
            <customFilter operator="greaterThan" val="8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2C2A-37F4-4F53-ABB9-FBEC16AF82CD}">
  <dimension ref="B1:B13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180</v>
      </c>
    </row>
    <row r="2" spans="2:2" x14ac:dyDescent="0.25">
      <c r="B2">
        <f>GETPIVOTDATA("Metric",Grouped!$A$4,"Region","East","Product","A","Channel","Retail")</f>
        <v>10</v>
      </c>
    </row>
    <row r="3" spans="2:2" x14ac:dyDescent="0.25">
      <c r="B3">
        <f>GETPIVOTDATA("Metric",Grouped!$A$4,"Region","East","Product","A","Channel","Online")</f>
        <v>30</v>
      </c>
    </row>
    <row r="4" spans="2:2" x14ac:dyDescent="0.25">
      <c r="B4" t="e">
        <f>GETPIVOTDATA("Metric",Grouped!$A$4,"Region","East","Product","A","Channel","Partner")</f>
        <v>#REF!</v>
      </c>
    </row>
    <row r="5" spans="2:2" x14ac:dyDescent="0.25">
      <c r="B5">
        <f>GETPIVOTDATA("Metric",Grouped!$A$4,"Region","East","Product","B","Channel","Retail")</f>
        <v>40</v>
      </c>
    </row>
    <row r="6" spans="2:2" x14ac:dyDescent="0.25">
      <c r="B6">
        <f>GETPIVOTDATA("Metric",Grouped!$A$4,"Region","East","Product","B","Channel","Online")</f>
        <v>20</v>
      </c>
    </row>
    <row r="7" spans="2:2" x14ac:dyDescent="0.25">
      <c r="B7" t="e">
        <f>GETPIVOTDATA("Metric",Grouped!$A$4,"Region","East","Product","B","Channel","Partner")</f>
        <v>#REF!</v>
      </c>
    </row>
    <row r="8" spans="2:2" x14ac:dyDescent="0.25">
      <c r="B8">
        <f>GETPIVOTDATA("Metric",Grouped!$A$4,"Region","West","Product","A","Channel","Retail")</f>
        <v>5</v>
      </c>
    </row>
    <row r="9" spans="2:2" x14ac:dyDescent="0.25">
      <c r="B9">
        <f>GETPIVOTDATA("Metric",Grouped!$A$4,"Region","West","Product","A","Channel","Online")</f>
        <v>25</v>
      </c>
    </row>
    <row r="10" spans="2:2" x14ac:dyDescent="0.25">
      <c r="B10" t="e">
        <f>GETPIVOTDATA("Metric",Grouped!$A$4,"Region","West","Product","A","Channel","Partner")</f>
        <v>#REF!</v>
      </c>
    </row>
    <row r="11" spans="2:2" x14ac:dyDescent="0.25">
      <c r="B11">
        <f>GETPIVOTDATA("Metric",Grouped!$A$4,"Region","West","Product","B","Channel","Retail")</f>
        <v>35</v>
      </c>
    </row>
    <row r="12" spans="2:2" x14ac:dyDescent="0.25">
      <c r="B12">
        <f>GETPIVOTDATA("Metric",Grouped!$A$4,"Region","West","Product","B","Channel","Online")</f>
        <v>15</v>
      </c>
    </row>
    <row r="13" spans="2:2" x14ac:dyDescent="0.25">
      <c r="B13" t="e">
        <f>GETPIVOTDATA("Metric",Grouped!$A$4,"Region","West","Product","B","Channel","Partner")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2F01-6B32-4D81-A27C-BD50184FFE2E}">
  <dimension ref="A4:E12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4" width="10.85546875" bestFit="1" customWidth="1"/>
    <col min="5" max="6" width="11.28515625" bestFit="1" customWidth="1"/>
  </cols>
  <sheetData>
    <row r="4" spans="1:5" x14ac:dyDescent="0.25">
      <c r="A4" s="1" t="s">
        <v>12</v>
      </c>
      <c r="C4" s="1" t="s">
        <v>2</v>
      </c>
    </row>
    <row r="5" spans="1:5" x14ac:dyDescent="0.25">
      <c r="A5" s="1" t="s">
        <v>0</v>
      </c>
      <c r="B5" s="1" t="s">
        <v>1</v>
      </c>
      <c r="C5" t="s">
        <v>7</v>
      </c>
      <c r="D5" t="s">
        <v>6</v>
      </c>
      <c r="E5" t="s">
        <v>11</v>
      </c>
    </row>
    <row r="6" spans="1:5" x14ac:dyDescent="0.25">
      <c r="A6" t="s">
        <v>4</v>
      </c>
      <c r="B6" t="s">
        <v>5</v>
      </c>
      <c r="C6" s="2">
        <v>30</v>
      </c>
      <c r="D6" s="2">
        <v>10</v>
      </c>
      <c r="E6" s="2">
        <v>40</v>
      </c>
    </row>
    <row r="7" spans="1:5" x14ac:dyDescent="0.25">
      <c r="B7" t="s">
        <v>9</v>
      </c>
      <c r="C7" s="2">
        <v>20</v>
      </c>
      <c r="D7" s="2">
        <v>40</v>
      </c>
      <c r="E7" s="2">
        <v>60</v>
      </c>
    </row>
    <row r="8" spans="1:5" x14ac:dyDescent="0.25">
      <c r="A8" t="s">
        <v>13</v>
      </c>
      <c r="C8" s="2">
        <v>50</v>
      </c>
      <c r="D8" s="2">
        <v>50</v>
      </c>
      <c r="E8" s="2">
        <v>100</v>
      </c>
    </row>
    <row r="9" spans="1:5" x14ac:dyDescent="0.25">
      <c r="A9" t="s">
        <v>10</v>
      </c>
      <c r="B9" t="s">
        <v>5</v>
      </c>
      <c r="C9" s="2">
        <v>25</v>
      </c>
      <c r="D9" s="2">
        <v>5</v>
      </c>
      <c r="E9" s="2">
        <v>30</v>
      </c>
    </row>
    <row r="10" spans="1:5" x14ac:dyDescent="0.25">
      <c r="B10" t="s">
        <v>9</v>
      </c>
      <c r="C10" s="2">
        <v>15</v>
      </c>
      <c r="D10" s="2">
        <v>35</v>
      </c>
      <c r="E10" s="2">
        <v>50</v>
      </c>
    </row>
    <row r="11" spans="1:5" x14ac:dyDescent="0.25">
      <c r="A11" t="s">
        <v>14</v>
      </c>
      <c r="C11" s="2">
        <v>40</v>
      </c>
      <c r="D11" s="2">
        <v>40</v>
      </c>
      <c r="E11" s="2">
        <v>80</v>
      </c>
    </row>
    <row r="12" spans="1:5" x14ac:dyDescent="0.25">
      <c r="A12" t="s">
        <v>11</v>
      </c>
      <c r="C12" s="2">
        <v>90</v>
      </c>
      <c r="D12" s="2">
        <v>90</v>
      </c>
      <c r="E12" s="2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D99A-02E8-4C07-A661-2DDEA985DB4E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</v>
      </c>
    </row>
    <row r="3" spans="1:4" x14ac:dyDescent="0.25">
      <c r="A3" t="s">
        <v>4</v>
      </c>
      <c r="B3" t="s">
        <v>5</v>
      </c>
      <c r="C3" t="s">
        <v>7</v>
      </c>
      <c r="D3">
        <v>30</v>
      </c>
    </row>
    <row r="4" spans="1:4" x14ac:dyDescent="0.25">
      <c r="A4" t="s">
        <v>4</v>
      </c>
      <c r="B4" t="s">
        <v>5</v>
      </c>
      <c r="C4" t="s">
        <v>8</v>
      </c>
      <c r="D4">
        <v>20</v>
      </c>
    </row>
    <row r="5" spans="1:4" x14ac:dyDescent="0.25">
      <c r="A5" t="s">
        <v>4</v>
      </c>
      <c r="B5" t="s">
        <v>9</v>
      </c>
      <c r="C5" t="s">
        <v>6</v>
      </c>
      <c r="D5">
        <v>40</v>
      </c>
    </row>
    <row r="6" spans="1:4" x14ac:dyDescent="0.25">
      <c r="A6" t="s">
        <v>4</v>
      </c>
      <c r="B6" t="s">
        <v>9</v>
      </c>
      <c r="C6" t="s">
        <v>7</v>
      </c>
      <c r="D6">
        <v>20</v>
      </c>
    </row>
    <row r="7" spans="1:4" x14ac:dyDescent="0.25">
      <c r="A7" t="s">
        <v>4</v>
      </c>
      <c r="B7" t="s">
        <v>9</v>
      </c>
      <c r="C7" t="s">
        <v>8</v>
      </c>
      <c r="D7">
        <v>5</v>
      </c>
    </row>
    <row r="8" spans="1:4" x14ac:dyDescent="0.25">
      <c r="A8" t="s">
        <v>10</v>
      </c>
      <c r="B8" t="s">
        <v>5</v>
      </c>
      <c r="C8" t="s">
        <v>6</v>
      </c>
      <c r="D8">
        <v>5</v>
      </c>
    </row>
    <row r="9" spans="1:4" x14ac:dyDescent="0.25">
      <c r="A9" t="s">
        <v>10</v>
      </c>
      <c r="B9" t="s">
        <v>5</v>
      </c>
      <c r="C9" t="s">
        <v>7</v>
      </c>
      <c r="D9">
        <v>25</v>
      </c>
    </row>
    <row r="10" spans="1:4" x14ac:dyDescent="0.25">
      <c r="A10" t="s">
        <v>10</v>
      </c>
      <c r="B10" t="s">
        <v>5</v>
      </c>
      <c r="C10" t="s">
        <v>8</v>
      </c>
      <c r="D10">
        <v>15</v>
      </c>
    </row>
    <row r="11" spans="1:4" x14ac:dyDescent="0.25">
      <c r="A11" t="s">
        <v>10</v>
      </c>
      <c r="B11" t="s">
        <v>9</v>
      </c>
      <c r="C11" t="s">
        <v>6</v>
      </c>
      <c r="D11">
        <v>35</v>
      </c>
    </row>
    <row r="12" spans="1:4" x14ac:dyDescent="0.25">
      <c r="A12" t="s">
        <v>10</v>
      </c>
      <c r="B12" t="s">
        <v>9</v>
      </c>
      <c r="C12" t="s">
        <v>7</v>
      </c>
      <c r="D12">
        <v>15</v>
      </c>
    </row>
    <row r="13" spans="1:4" x14ac:dyDescent="0.25">
      <c r="A13" t="s">
        <v>10</v>
      </c>
      <c r="B13" t="s">
        <v>9</v>
      </c>
      <c r="C13" t="s">
        <v>8</v>
      </c>
      <c r="D1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2026-09-29T00:54:00Z</dcterms:created>
  <dcterms:modified xsi:type="dcterms:W3CDTF">2026-09-29T00:54:01Z</dcterms:modified>
</cp:coreProperties>
</file>