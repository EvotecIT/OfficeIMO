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6C1B824A-A5EF-46CD-A863-B033DCB3298A}" xr6:coauthVersionLast="47" xr6:coauthVersionMax="47" xr10:uidLastSave="{00000000-0000-0000-0000-000000000000}"/>
  <bookViews>
    <workbookView xWindow="-110" yWindow="-110" windowWidth="38620" windowHeight="21100" xr2:uid="{7BBDA3A8-7AE0-46E6-911E-4BB6CEC1C1F4}"/>
  </bookViews>
  <sheets>
    <sheet name="ColColOuter" sheetId="14" r:id="rId1"/>
    <sheet name="RowRowOuter" sheetId="13" r:id="rId2"/>
    <sheet name="BothRowOuter" sheetId="12" r:id="rId3"/>
    <sheet name="BothColOuter" sheetId="11" r:id="rId4"/>
    <sheet name="ScalarRow" sheetId="10" r:id="rId5"/>
    <sheet name="ScalarCol" sheetId="9" r:id="rId6"/>
    <sheet name="ColRow" sheetId="8" r:id="rId7"/>
    <sheet name="ColCol" sheetId="7" r:id="rId8"/>
    <sheet name="RowRow" sheetId="6" r:id="rId9"/>
    <sheet name="RowCol" sheetId="5" r:id="rId10"/>
    <sheet name="BothRow" sheetId="4" r:id="rId11"/>
    <sheet name="BothCol" sheetId="3" r:id="rId12"/>
    <sheet name="Lookups" sheetId="2" r:id="rId13"/>
    <sheet name="Source" sheetId="1" r:id="rId14"/>
  </sheets>
  <calcPr calcId="191029"/>
  <pivotCaches>
    <pivotCache cacheId="9" r:id="rId15"/>
    <pivotCache cacheId="19" r:id="rId16"/>
    <pivotCache cacheId="27" r:id="rId17"/>
    <pivotCache cacheId="35" r:id="rId18"/>
    <pivotCache cacheId="43" r:id="rId19"/>
    <pivotCache cacheId="51" r:id="rId20"/>
    <pivotCache cacheId="57" r:id="rId21"/>
    <pivotCache cacheId="63" r:id="rId22"/>
    <pivotCache cacheId="73" r:id="rId23"/>
    <pivotCache cacheId="83" r:id="rId24"/>
    <pivotCache cacheId="91" r:id="rId25"/>
    <pivotCache cacheId="99" r:id="rId2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24" i="2" l="1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1" i="2"/>
</calcChain>
</file>

<file path=xl/sharedStrings.xml><?xml version="1.0" encoding="utf-8"?>
<sst xmlns="http://schemas.openxmlformats.org/spreadsheetml/2006/main" count="508" uniqueCount="30">
  <si>
    <t>Region</t>
  </si>
  <si>
    <t>Product</t>
  </si>
  <si>
    <t>Amount</t>
  </si>
  <si>
    <t>Units</t>
  </si>
  <si>
    <t>North</t>
  </si>
  <si>
    <t>A</t>
  </si>
  <si>
    <t>B</t>
  </si>
  <si>
    <t>South</t>
  </si>
  <si>
    <t>West</t>
  </si>
  <si>
    <t>pending</t>
  </si>
  <si>
    <t>Grand Total</t>
  </si>
  <si>
    <t>Revenue</t>
  </si>
  <si>
    <t>Total Revenue</t>
  </si>
  <si>
    <t>Total AvgUnits</t>
  </si>
  <si>
    <t>AvgUnits</t>
  </si>
  <si>
    <t>Total Entries</t>
  </si>
  <si>
    <t>Entries</t>
  </si>
  <si>
    <t>Values</t>
  </si>
  <si>
    <t>BothCol</t>
  </si>
  <si>
    <t>BothRow</t>
  </si>
  <si>
    <t>RowCol</t>
  </si>
  <si>
    <t>RowRow</t>
  </si>
  <si>
    <t>ColCol</t>
  </si>
  <si>
    <t>ColRow</t>
  </si>
  <si>
    <t>ScalarCol</t>
  </si>
  <si>
    <t>ScalarRow</t>
  </si>
  <si>
    <t>BothColOuter</t>
  </si>
  <si>
    <t>BothRowOuter</t>
  </si>
  <si>
    <t>RowRowOuter</t>
  </si>
  <si>
    <t>ColColOuter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</si>
</sst>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26" Type="http://schemas.openxmlformats.org/officeDocument/2006/relationships/pivotCacheDefinition" Target="pivotCache/pivotCacheDefinition12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pivotCacheDefinition" Target="pivotCache/pivotCacheDefinition1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pivotCacheDefinition" Target="pivotCache/pivotCacheDefinition6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0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pivotCacheDefinition" Target="pivotCache/pivotCacheDefinition9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8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698177893515" createdVersion="6" refreshedVersion="8" minRefreshableVersion="3" recordCount="8" xr:uid="{BEB7B0D2-C07A-4AA6-80EC-0D8A69C8800C}">
  <cacheSource type="worksheet">
    <worksheetSource ref="A1:D9" sheet="Source"/>
  </cacheSource>
  <cacheFields count="4">
    <cacheField name="Region" numFmtId="0">
      <sharedItems count="3">
        <s v="North"/>
        <s v="South"/>
        <s v="West"/>
      </sharedItems>
    </cacheField>
    <cacheField name="Product" numFmtId="0">
      <sharedItems count="2">
        <s v="A"/>
        <s v="B"/>
      </sharedItems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698182291664" createdVersion="6" refreshedVersion="8" minRefreshableVersion="3" recordCount="8" xr:uid="{F49267C1-B99F-4660-8C52-DB4A92386E37}">
  <cacheSource type="worksheet">
    <worksheetSource ref="A1:D9" sheet="Source"/>
  </cacheSource>
  <cacheFields count="4">
    <cacheField name="Region" numFmtId="0">
      <sharedItems count="3">
        <s v="North"/>
        <s v="South"/>
        <s v="West"/>
      </sharedItems>
    </cacheField>
    <cacheField name="Product" numFmtId="0">
      <sharedItems count="2">
        <s v="A"/>
        <s v="B"/>
      </sharedItems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69818634259" createdVersion="6" refreshedVersion="8" minRefreshableVersion="3" recordCount="8" xr:uid="{AB1D5318-34E7-44AF-A90B-131AB3F1AD0E}">
  <cacheSource type="worksheet">
    <worksheetSource ref="A1:D9" sheet="Source"/>
  </cacheSource>
  <cacheFields count="4">
    <cacheField name="Region" numFmtId="0">
      <sharedItems count="3">
        <s v="North"/>
        <s v="South"/>
        <s v="West"/>
      </sharedItems>
    </cacheField>
    <cacheField name="Product" numFmtId="0">
      <sharedItems/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698189467592" createdVersion="6" refreshedVersion="8" minRefreshableVersion="3" recordCount="8" xr:uid="{58F48227-4A5C-461E-8C07-E6BD4B82E7CD}">
  <cacheSource type="worksheet">
    <worksheetSource ref="A1:D9" sheet="Source"/>
  </cacheSource>
  <cacheFields count="4">
    <cacheField name="Region" numFmtId="0">
      <sharedItems count="3">
        <s v="North"/>
        <s v="South"/>
        <s v="West"/>
      </sharedItems>
    </cacheField>
    <cacheField name="Product" numFmtId="0">
      <sharedItems/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698193402779" createdVersion="6" refreshedVersion="8" minRefreshableVersion="3" recordCount="8" xr:uid="{93EEA4EF-B6E9-4532-BECC-E63CC317BD1A}">
  <cacheSource type="worksheet">
    <worksheetSource ref="A1:D9" sheet="Source"/>
  </cacheSource>
  <cacheFields count="4">
    <cacheField name="Region" numFmtId="0">
      <sharedItems/>
    </cacheField>
    <cacheField name="Product" numFmtId="0">
      <sharedItems count="2">
        <s v="A"/>
        <s v="B"/>
      </sharedItems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698197106482" createdVersion="6" refreshedVersion="8" minRefreshableVersion="3" recordCount="8" xr:uid="{11DFDB78-722A-48A4-AA8E-2EC8BAC20196}">
  <cacheSource type="worksheet">
    <worksheetSource ref="A1:D9" sheet="Source"/>
  </cacheSource>
  <cacheFields count="4">
    <cacheField name="Region" numFmtId="0">
      <sharedItems/>
    </cacheField>
    <cacheField name="Product" numFmtId="0">
      <sharedItems count="2">
        <s v="A"/>
        <s v="B"/>
      </sharedItems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698205208333" createdVersion="6" refreshedVersion="8" minRefreshableVersion="3" recordCount="8" xr:uid="{2070D3B1-4184-4832-943C-CD20B7F5A1CC}">
  <cacheSource type="worksheet">
    <worksheetSource ref="A1:D9" sheet="Source"/>
  </cacheSource>
  <cacheFields count="4">
    <cacheField name="Region" numFmtId="0">
      <sharedItems/>
    </cacheField>
    <cacheField name="Product" numFmtId="0">
      <sharedItems/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698208796297" createdVersion="6" refreshedVersion="8" minRefreshableVersion="3" recordCount="8" xr:uid="{3F759D36-6F0C-4D06-830D-A0089E4B1764}">
  <cacheSource type="worksheet">
    <worksheetSource ref="A1:D9" sheet="Source"/>
  </cacheSource>
  <cacheFields count="4">
    <cacheField name="Region" numFmtId="0">
      <sharedItems/>
    </cacheField>
    <cacheField name="Product" numFmtId="0">
      <sharedItems/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698212615738" createdVersion="6" refreshedVersion="8" minRefreshableVersion="3" recordCount="8" xr:uid="{624D7C19-8D02-4D12-9913-C8800DB4680A}">
  <cacheSource type="worksheet">
    <worksheetSource ref="A1:D9" sheet="Source"/>
  </cacheSource>
  <cacheFields count="4">
    <cacheField name="Region" numFmtId="0">
      <sharedItems count="3">
        <s v="North"/>
        <s v="South"/>
        <s v="West"/>
      </sharedItems>
    </cacheField>
    <cacheField name="Product" numFmtId="0">
      <sharedItems count="2">
        <s v="A"/>
        <s v="B"/>
      </sharedItems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698216087963" createdVersion="6" refreshedVersion="8" minRefreshableVersion="3" recordCount="8" xr:uid="{722CB372-9123-4E07-8315-2397A5FAF2A1}">
  <cacheSource type="worksheet">
    <worksheetSource ref="A1:D9" sheet="Source"/>
  </cacheSource>
  <cacheFields count="4">
    <cacheField name="Region" numFmtId="0">
      <sharedItems count="3">
        <s v="North"/>
        <s v="South"/>
        <s v="West"/>
      </sharedItems>
    </cacheField>
    <cacheField name="Product" numFmtId="0">
      <sharedItems count="2">
        <s v="A"/>
        <s v="B"/>
      </sharedItems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698218865742" createdVersion="6" refreshedVersion="8" minRefreshableVersion="3" recordCount="8" xr:uid="{80419399-C3ED-4D74-9D7F-5596909D3DA8}">
  <cacheSource type="worksheet">
    <worksheetSource ref="A1:D9" sheet="Source"/>
  </cacheSource>
  <cacheFields count="4">
    <cacheField name="Region" numFmtId="0">
      <sharedItems count="3">
        <s v="North"/>
        <s v="South"/>
        <s v="West"/>
      </sharedItems>
    </cacheField>
    <cacheField name="Product" numFmtId="0">
      <sharedItems/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698221643521" createdVersion="6" refreshedVersion="8" minRefreshableVersion="3" recordCount="8" xr:uid="{D8D95A5F-EF75-404C-9BFD-D83BC7F7EB3C}">
  <cacheSource type="worksheet">
    <worksheetSource ref="A1:D9" sheet="Source"/>
  </cacheSource>
  <cacheFields count="4">
    <cacheField name="Region" numFmtId="0">
      <sharedItems/>
    </cacheField>
    <cacheField name="Product" numFmtId="0">
      <sharedItems count="2">
        <s v="A"/>
        <s v="B"/>
      </sharedItems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0"/>
    <n v="2"/>
  </r>
  <r>
    <x v="0"/>
    <x v="1"/>
    <n v="20"/>
    <n v="3"/>
  </r>
  <r>
    <x v="1"/>
    <x v="0"/>
    <n v="5"/>
    <n v="1"/>
  </r>
  <r>
    <x v="1"/>
    <x v="1"/>
    <n v="15"/>
    <n v="4"/>
  </r>
  <r>
    <x v="0"/>
    <x v="0"/>
    <n v="-2"/>
    <n v="1"/>
  </r>
  <r>
    <x v="2"/>
    <x v="1"/>
    <m/>
    <n v="5"/>
  </r>
  <r>
    <x v="1"/>
    <x v="0"/>
    <s v="pending"/>
    <n v="2"/>
  </r>
  <r>
    <x v="0"/>
    <x v="1"/>
    <b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0"/>
    <n v="2"/>
  </r>
  <r>
    <x v="0"/>
    <x v="1"/>
    <n v="20"/>
    <n v="3"/>
  </r>
  <r>
    <x v="1"/>
    <x v="0"/>
    <n v="5"/>
    <n v="1"/>
  </r>
  <r>
    <x v="1"/>
    <x v="1"/>
    <n v="15"/>
    <n v="4"/>
  </r>
  <r>
    <x v="0"/>
    <x v="0"/>
    <n v="-2"/>
    <n v="1"/>
  </r>
  <r>
    <x v="2"/>
    <x v="1"/>
    <m/>
    <n v="5"/>
  </r>
  <r>
    <x v="1"/>
    <x v="0"/>
    <s v="pending"/>
    <n v="2"/>
  </r>
  <r>
    <x v="0"/>
    <x v="1"/>
    <b v="1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s v="A"/>
    <n v="10"/>
    <n v="2"/>
  </r>
  <r>
    <x v="0"/>
    <s v="B"/>
    <n v="20"/>
    <n v="3"/>
  </r>
  <r>
    <x v="1"/>
    <s v="A"/>
    <n v="5"/>
    <n v="1"/>
  </r>
  <r>
    <x v="1"/>
    <s v="B"/>
    <n v="15"/>
    <n v="4"/>
  </r>
  <r>
    <x v="0"/>
    <s v="A"/>
    <n v="-2"/>
    <n v="1"/>
  </r>
  <r>
    <x v="2"/>
    <s v="B"/>
    <m/>
    <n v="5"/>
  </r>
  <r>
    <x v="1"/>
    <s v="A"/>
    <s v="pending"/>
    <n v="2"/>
  </r>
  <r>
    <x v="0"/>
    <s v="B"/>
    <b v="1"/>
    <n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s v="A"/>
    <n v="10"/>
    <n v="2"/>
  </r>
  <r>
    <x v="0"/>
    <s v="B"/>
    <n v="20"/>
    <n v="3"/>
  </r>
  <r>
    <x v="1"/>
    <s v="A"/>
    <n v="5"/>
    <n v="1"/>
  </r>
  <r>
    <x v="1"/>
    <s v="B"/>
    <n v="15"/>
    <n v="4"/>
  </r>
  <r>
    <x v="0"/>
    <s v="A"/>
    <n v="-2"/>
    <n v="1"/>
  </r>
  <r>
    <x v="2"/>
    <s v="B"/>
    <m/>
    <n v="5"/>
  </r>
  <r>
    <x v="1"/>
    <s v="A"/>
    <s v="pending"/>
    <n v="2"/>
  </r>
  <r>
    <x v="0"/>
    <s v="B"/>
    <b v="1"/>
    <n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North"/>
    <x v="0"/>
    <n v="10"/>
    <n v="2"/>
  </r>
  <r>
    <s v="North"/>
    <x v="1"/>
    <n v="20"/>
    <n v="3"/>
  </r>
  <r>
    <s v="South"/>
    <x v="0"/>
    <n v="5"/>
    <n v="1"/>
  </r>
  <r>
    <s v="South"/>
    <x v="1"/>
    <n v="15"/>
    <n v="4"/>
  </r>
  <r>
    <s v="North"/>
    <x v="0"/>
    <n v="-2"/>
    <n v="1"/>
  </r>
  <r>
    <s v="West"/>
    <x v="1"/>
    <m/>
    <n v="5"/>
  </r>
  <r>
    <s v="South"/>
    <x v="0"/>
    <s v="pending"/>
    <n v="2"/>
  </r>
  <r>
    <s v="North"/>
    <x v="1"/>
    <b v="1"/>
    <n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North"/>
    <x v="0"/>
    <n v="10"/>
    <n v="2"/>
  </r>
  <r>
    <s v="North"/>
    <x v="1"/>
    <n v="20"/>
    <n v="3"/>
  </r>
  <r>
    <s v="South"/>
    <x v="0"/>
    <n v="5"/>
    <n v="1"/>
  </r>
  <r>
    <s v="South"/>
    <x v="1"/>
    <n v="15"/>
    <n v="4"/>
  </r>
  <r>
    <s v="North"/>
    <x v="0"/>
    <n v="-2"/>
    <n v="1"/>
  </r>
  <r>
    <s v="West"/>
    <x v="1"/>
    <m/>
    <n v="5"/>
  </r>
  <r>
    <s v="South"/>
    <x v="0"/>
    <s v="pending"/>
    <n v="2"/>
  </r>
  <r>
    <s v="North"/>
    <x v="1"/>
    <b v="1"/>
    <n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North"/>
    <s v="A"/>
    <n v="10"/>
    <n v="2"/>
  </r>
  <r>
    <s v="North"/>
    <s v="B"/>
    <n v="20"/>
    <n v="3"/>
  </r>
  <r>
    <s v="South"/>
    <s v="A"/>
    <n v="5"/>
    <n v="1"/>
  </r>
  <r>
    <s v="South"/>
    <s v="B"/>
    <n v="15"/>
    <n v="4"/>
  </r>
  <r>
    <s v="North"/>
    <s v="A"/>
    <n v="-2"/>
    <n v="1"/>
  </r>
  <r>
    <s v="West"/>
    <s v="B"/>
    <m/>
    <n v="5"/>
  </r>
  <r>
    <s v="South"/>
    <s v="A"/>
    <s v="pending"/>
    <n v="2"/>
  </r>
  <r>
    <s v="North"/>
    <s v="B"/>
    <b v="1"/>
    <n v="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North"/>
    <s v="A"/>
    <n v="10"/>
    <n v="2"/>
  </r>
  <r>
    <s v="North"/>
    <s v="B"/>
    <n v="20"/>
    <n v="3"/>
  </r>
  <r>
    <s v="South"/>
    <s v="A"/>
    <n v="5"/>
    <n v="1"/>
  </r>
  <r>
    <s v="South"/>
    <s v="B"/>
    <n v="15"/>
    <n v="4"/>
  </r>
  <r>
    <s v="North"/>
    <s v="A"/>
    <n v="-2"/>
    <n v="1"/>
  </r>
  <r>
    <s v="West"/>
    <s v="B"/>
    <m/>
    <n v="5"/>
  </r>
  <r>
    <s v="South"/>
    <s v="A"/>
    <s v="pending"/>
    <n v="2"/>
  </r>
  <r>
    <s v="North"/>
    <s v="B"/>
    <b v="1"/>
    <n v="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0"/>
    <n v="2"/>
  </r>
  <r>
    <x v="0"/>
    <x v="1"/>
    <n v="20"/>
    <n v="3"/>
  </r>
  <r>
    <x v="1"/>
    <x v="0"/>
    <n v="5"/>
    <n v="1"/>
  </r>
  <r>
    <x v="1"/>
    <x v="1"/>
    <n v="15"/>
    <n v="4"/>
  </r>
  <r>
    <x v="0"/>
    <x v="0"/>
    <n v="-2"/>
    <n v="1"/>
  </r>
  <r>
    <x v="2"/>
    <x v="1"/>
    <m/>
    <n v="5"/>
  </r>
  <r>
    <x v="1"/>
    <x v="0"/>
    <s v="pending"/>
    <n v="2"/>
  </r>
  <r>
    <x v="0"/>
    <x v="1"/>
    <b v="1"/>
    <n v="1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0"/>
    <n v="2"/>
  </r>
  <r>
    <x v="0"/>
    <x v="1"/>
    <n v="20"/>
    <n v="3"/>
  </r>
  <r>
    <x v="1"/>
    <x v="0"/>
    <n v="5"/>
    <n v="1"/>
  </r>
  <r>
    <x v="1"/>
    <x v="1"/>
    <n v="15"/>
    <n v="4"/>
  </r>
  <r>
    <x v="0"/>
    <x v="0"/>
    <n v="-2"/>
    <n v="1"/>
  </r>
  <r>
    <x v="2"/>
    <x v="1"/>
    <m/>
    <n v="5"/>
  </r>
  <r>
    <x v="1"/>
    <x v="0"/>
    <s v="pending"/>
    <n v="2"/>
  </r>
  <r>
    <x v="0"/>
    <x v="1"/>
    <b v="1"/>
    <n v="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s v="A"/>
    <n v="10"/>
    <n v="2"/>
  </r>
  <r>
    <x v="0"/>
    <s v="B"/>
    <n v="20"/>
    <n v="3"/>
  </r>
  <r>
    <x v="1"/>
    <s v="A"/>
    <n v="5"/>
    <n v="1"/>
  </r>
  <r>
    <x v="1"/>
    <s v="B"/>
    <n v="15"/>
    <n v="4"/>
  </r>
  <r>
    <x v="0"/>
    <s v="A"/>
    <n v="-2"/>
    <n v="1"/>
  </r>
  <r>
    <x v="2"/>
    <s v="B"/>
    <m/>
    <n v="5"/>
  </r>
  <r>
    <x v="1"/>
    <s v="A"/>
    <s v="pending"/>
    <n v="2"/>
  </r>
  <r>
    <x v="0"/>
    <s v="B"/>
    <b v="1"/>
    <n v="1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North"/>
    <x v="0"/>
    <n v="10"/>
    <n v="2"/>
  </r>
  <r>
    <s v="North"/>
    <x v="1"/>
    <n v="20"/>
    <n v="3"/>
  </r>
  <r>
    <s v="South"/>
    <x v="0"/>
    <n v="5"/>
    <n v="1"/>
  </r>
  <r>
    <s v="South"/>
    <x v="1"/>
    <n v="15"/>
    <n v="4"/>
  </r>
  <r>
    <s v="North"/>
    <x v="0"/>
    <n v="-2"/>
    <n v="1"/>
  </r>
  <r>
    <s v="West"/>
    <x v="1"/>
    <m/>
    <n v="5"/>
  </r>
  <r>
    <s v="South"/>
    <x v="0"/>
    <s v="pending"/>
    <n v="2"/>
  </r>
  <r>
    <s v="North"/>
    <x v="1"/>
    <b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8C84F3-CF80-490D-8747-3AE171B8410A}" name="PivotColColOuter" cacheId="99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I4" firstHeaderRow="1" firstDataRow="3" firstDataCol="0"/>
  <pivotFields count="4">
    <pivotField compact="0" outline="0" showAll="0"/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dataField="1" compact="0" outline="0" showAll="0"/>
  </pivotFields>
  <rowItems count="1">
    <i/>
  </rowItems>
  <colFields count="2">
    <field x="-2"/>
    <field x="1"/>
  </colFields>
  <colItems count="9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t="grand">
      <x/>
    </i>
    <i t="grand" i="1">
      <x/>
    </i>
    <i t="grand" i="2">
      <x/>
    </i>
  </colItems>
  <dataFields count="3">
    <dataField name="Revenue" fld="2" baseField="0" baseItem="0"/>
    <dataField name="AvgUnits" fld="3" subtotal="average" baseField="0" baseItem="0"/>
    <dataField name="Entries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F5F693-DBAE-439A-A19F-127A779DC0D7}" name="PivotRowRowOuter" cacheId="91" dataOnRows="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C13" firstHeaderRow="1" firstDataRow="1" firstDataCol="2"/>
  <pivotFields count="4"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dataField="1" compact="0" outline="0" showAll="0"/>
  </pivotFields>
  <rowFields count="2">
    <field x="-2"/>
    <field x="0"/>
  </rowFields>
  <rowItems count="12">
    <i>
      <x/>
      <x/>
    </i>
    <i r="1">
      <x v="1"/>
    </i>
    <i r="1">
      <x v="2"/>
    </i>
    <i i="1">
      <x v="1"/>
      <x/>
    </i>
    <i r="1" i="1">
      <x v="1"/>
    </i>
    <i r="1" i="1">
      <x v="2"/>
    </i>
    <i i="2">
      <x v="2"/>
      <x/>
    </i>
    <i r="1" i="2">
      <x v="1"/>
    </i>
    <i r="1" i="2">
      <x v="2"/>
    </i>
    <i t="grand">
      <x/>
    </i>
    <i t="grand" i="1">
      <x/>
    </i>
    <i t="grand" i="2">
      <x/>
    </i>
  </rowItems>
  <colItems count="1">
    <i/>
  </colItems>
  <dataFields count="3">
    <dataField name="Revenue" fld="2" baseField="0" baseItem="0"/>
    <dataField name="AvgUnits" fld="3" subtotal="average" baseField="0" baseItem="0"/>
    <dataField name="Entries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D8297C-CFC8-4CF4-BD3C-585E8F7AA589}" name="PivotBothRowOuter" cacheId="83" dataOnRows="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E14" firstHeaderRow="1" firstDataRow="2" firstDataCol="2"/>
  <pivotFields count="4">
    <pivotField axis="axisRow" compact="0" outline="0" showAll="0">
      <items count="4">
        <item x="0"/>
        <item x="1"/>
        <item x="2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dataField="1" compact="0" outline="0" showAll="0"/>
  </pivotFields>
  <rowFields count="2">
    <field x="-2"/>
    <field x="0"/>
  </rowFields>
  <rowItems count="12">
    <i>
      <x/>
      <x/>
    </i>
    <i r="1">
      <x v="1"/>
    </i>
    <i r="1">
      <x v="2"/>
    </i>
    <i i="1">
      <x v="1"/>
      <x/>
    </i>
    <i r="1" i="1">
      <x v="1"/>
    </i>
    <i r="1" i="1">
      <x v="2"/>
    </i>
    <i i="2">
      <x v="2"/>
      <x/>
    </i>
    <i r="1" i="2">
      <x v="1"/>
    </i>
    <i r="1" i="2">
      <x v="2"/>
    </i>
    <i t="grand">
      <x/>
    </i>
    <i t="grand" i="1">
      <x/>
    </i>
    <i t="grand" i="2">
      <x/>
    </i>
  </rowItems>
  <colFields count="1">
    <field x="1"/>
  </colFields>
  <colItems count="3">
    <i>
      <x/>
    </i>
    <i>
      <x v="1"/>
    </i>
    <i t="grand">
      <x/>
    </i>
  </colItems>
  <dataFields count="3">
    <dataField name="Revenue" fld="2" baseField="0" baseItem="0"/>
    <dataField name="AvgUnits" fld="3" subtotal="average" baseField="0" baseItem="0"/>
    <dataField name="Entries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8ADCD3-ED10-4EA3-9670-15F22ADB715B}" name="PivotBothColOuter" cacheId="73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J7" firstHeaderRow="1" firstDataRow="3" firstDataCol="1"/>
  <pivotFields count="4">
    <pivotField axis="axisRow" compact="0" outline="0" showAll="0">
      <items count="4">
        <item x="0"/>
        <item x="1"/>
        <item x="2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dataField="1"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2">
    <field x="-2"/>
    <field x="1"/>
  </colFields>
  <colItems count="9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t="grand">
      <x/>
    </i>
    <i t="grand" i="1">
      <x/>
    </i>
    <i t="grand" i="2">
      <x/>
    </i>
  </colItems>
  <dataFields count="3">
    <dataField name="Revenue" fld="2" baseField="0" baseItem="0"/>
    <dataField name="AvgUnits" fld="3" subtotal="average" baseField="0" baseItem="0"/>
    <dataField name="Entries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F4CB6A-5672-43EA-A201-28372901E616}" name="PivotScalarRow" cacheId="6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B4" firstHeaderRow="1" firstDataRow="1" firstDataCol="1"/>
  <pivotFields count="4">
    <pivotField compact="0" outline="0" showAll="0"/>
    <pivotField compact="0" outline="0" showAll="0"/>
    <pivotField dataField="1" compact="0" outline="0" showAll="0"/>
    <pivotField dataField="1" compact="0" outline="0" showAll="0"/>
  </pivotFields>
  <rowFields count="1">
    <field x="-2"/>
  </rowFields>
  <rowItems count="3">
    <i>
      <x/>
    </i>
    <i i="1">
      <x v="1"/>
    </i>
    <i i="2">
      <x v="2"/>
    </i>
  </rowItems>
  <colItems count="1">
    <i/>
  </colItems>
  <dataFields count="3">
    <dataField name="Revenue" fld="2" baseField="0" baseItem="0"/>
    <dataField name="AvgUnits" fld="3" subtotal="average" baseField="0" baseItem="0"/>
    <dataField name="Entries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05F441-23E8-484E-9474-AFD137040BFE}" name="PivotScalarCol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C2" firstHeaderRow="0" firstDataRow="1" firstDataCol="0"/>
  <pivotFields count="4">
    <pivotField compact="0" outline="0" showAll="0"/>
    <pivotField compact="0" outline="0" showAll="0"/>
    <pivotField dataField="1" compact="0" outline="0" showAll="0"/>
    <pivotField dataField="1" compact="0" outline="0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Revenue" fld="2" baseField="0" baseItem="0"/>
    <dataField name="AvgUnits" fld="3" subtotal="average" baseField="0" baseItem="0"/>
    <dataField name="Entries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754A24-2414-4438-B0E5-22A18EF19E2B}" name="PivotColRow" cacheId="51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D5" firstHeaderRow="1" firstDataRow="2" firstDataCol="1"/>
  <pivotFields count="4">
    <pivotField compact="0" outline="0" showAll="0"/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dataField="1" compact="0" outline="0" showAll="0"/>
  </pivotFields>
  <rowFields count="1">
    <field x="-2"/>
  </rowFields>
  <rowItems count="3">
    <i>
      <x/>
    </i>
    <i i="1">
      <x v="1"/>
    </i>
    <i i="2">
      <x v="2"/>
    </i>
  </rowItems>
  <colFields count="1">
    <field x="1"/>
  </colFields>
  <colItems count="3">
    <i>
      <x/>
    </i>
    <i>
      <x v="1"/>
    </i>
    <i t="grand">
      <x/>
    </i>
  </colItems>
  <dataFields count="3">
    <dataField name="Revenue" fld="2" baseField="0" baseItem="0"/>
    <dataField name="AvgUnits" fld="3" subtotal="average" baseField="0" baseItem="0"/>
    <dataField name="Entries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502BDA-22D3-4D0E-BFB9-54D880625A47}" name="PivotColCol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I4" firstHeaderRow="1" firstDataRow="3" firstDataCol="0"/>
  <pivotFields count="4">
    <pivotField compact="0" outline="0" showAll="0"/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dataField="1" compact="0" outline="0" showAll="0"/>
  </pivotFields>
  <rowItems count="1">
    <i/>
  </rowItems>
  <colFields count="2">
    <field x="1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Revenue" fld="2" baseField="0" baseItem="0"/>
    <dataField name="AvgUnits" fld="3" subtotal="average" baseField="0" baseItem="0"/>
    <dataField name="Entries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65E47C-B75A-423A-9D73-2FBF93470776}" name="PivotRowRow" cacheId="35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C13" firstHeaderRow="1" firstDataRow="1" firstDataCol="2"/>
  <pivotFields count="4"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dataField="1" compact="0" outline="0" showAll="0"/>
  </pivotFields>
  <rowFields count="2">
    <field x="0"/>
    <field x="-2"/>
  </rowFields>
  <row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rowItems>
  <colItems count="1">
    <i/>
  </colItems>
  <dataFields count="3">
    <dataField name="Revenue" fld="2" baseField="0" baseItem="0"/>
    <dataField name="AvgUnits" fld="3" subtotal="average" baseField="0" baseItem="0"/>
    <dataField name="Entries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7DF6B0-8489-4F3D-8AFE-E786B3F9D057}" name="PivotRowCol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D5" firstHeaderRow="0" firstDataRow="1" firstDataCol="1"/>
  <pivotFields count="4"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dataField="1"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evenue" fld="2" baseField="0" baseItem="0"/>
    <dataField name="AvgUnits" fld="3" subtotal="average" baseField="0" baseItem="0"/>
    <dataField name="Entries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7B7622-5AB1-49AD-B4E2-2D31A7CF8725}" name="PivotBothRow" cacheId="19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E14" firstHeaderRow="1" firstDataRow="2" firstDataCol="2"/>
  <pivotFields count="4">
    <pivotField axis="axisRow" compact="0" outline="0" showAll="0">
      <items count="4">
        <item x="0"/>
        <item x="1"/>
        <item x="2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dataField="1" compact="0" outline="0" showAll="0"/>
  </pivotFields>
  <rowFields count="2">
    <field x="0"/>
    <field x="-2"/>
  </rowFields>
  <row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rowItems>
  <colFields count="1">
    <field x="1"/>
  </colFields>
  <colItems count="3">
    <i>
      <x/>
    </i>
    <i>
      <x v="1"/>
    </i>
    <i t="grand">
      <x/>
    </i>
  </colItems>
  <dataFields count="3">
    <dataField name="Revenue" fld="2" baseField="0" baseItem="0"/>
    <dataField name="AvgUnits" fld="3" subtotal="average" baseField="0" baseItem="0"/>
    <dataField name="Entries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422632-8EA6-471F-AF2B-B710220A14F0}" name="PivotBothCol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J7" firstHeaderRow="1" firstDataRow="3" firstDataCol="1"/>
  <pivotFields count="4">
    <pivotField axis="axisRow" compact="0" outline="0" showAll="0">
      <items count="4">
        <item x="0"/>
        <item x="1"/>
        <item x="2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dataField="1"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2">
    <field x="1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Revenue" fld="2" baseField="0" baseItem="0"/>
    <dataField name="AvgUnits" fld="3" subtotal="average" baseField="0" baseItem="0"/>
    <dataField name="Entries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0AD22-FA9D-4136-8847-4CD8137E8785}">
  <dimension ref="A1:I4"/>
  <sheetViews>
    <sheetView tabSelected="1" workbookViewId="0"/>
  </sheetViews>
  <sheetFormatPr defaultRowHeight="14.5" x14ac:dyDescent="0.35"/>
  <cols>
    <col min="1" max="6" width="9.6328125" bestFit="1" customWidth="1"/>
    <col min="7" max="7" width="12.54296875" bestFit="1" customWidth="1"/>
    <col min="8" max="8" width="12.6328125" bestFit="1" customWidth="1"/>
    <col min="9" max="9" width="11.08984375" bestFit="1" customWidth="1"/>
  </cols>
  <sheetData>
    <row r="1" spans="1:9" x14ac:dyDescent="0.35">
      <c r="A1" s="1" t="s">
        <v>17</v>
      </c>
      <c r="B1" s="1" t="s">
        <v>1</v>
      </c>
    </row>
    <row r="2" spans="1:9" x14ac:dyDescent="0.35">
      <c r="A2" t="s">
        <v>11</v>
      </c>
      <c r="C2" t="s">
        <v>14</v>
      </c>
      <c r="E2" t="s">
        <v>16</v>
      </c>
      <c r="G2" t="s">
        <v>12</v>
      </c>
      <c r="H2" t="s">
        <v>13</v>
      </c>
      <c r="I2" t="s">
        <v>15</v>
      </c>
    </row>
    <row r="3" spans="1:9" x14ac:dyDescent="0.35">
      <c r="A3" t="s">
        <v>5</v>
      </c>
      <c r="B3" t="s">
        <v>6</v>
      </c>
      <c r="C3" t="s">
        <v>5</v>
      </c>
      <c r="D3" t="s">
        <v>6</v>
      </c>
      <c r="E3" t="s">
        <v>5</v>
      </c>
      <c r="F3" t="s">
        <v>6</v>
      </c>
    </row>
    <row r="4" spans="1:9" x14ac:dyDescent="0.35">
      <c r="A4" s="2">
        <v>13</v>
      </c>
      <c r="B4" s="2">
        <v>35</v>
      </c>
      <c r="C4" s="2">
        <v>1.5</v>
      </c>
      <c r="D4" s="2">
        <v>3.25</v>
      </c>
      <c r="E4" s="2">
        <v>4</v>
      </c>
      <c r="F4" s="2">
        <v>3</v>
      </c>
      <c r="G4" s="2">
        <v>48</v>
      </c>
      <c r="H4" s="2">
        <v>2.375</v>
      </c>
      <c r="I4" s="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3CDF6-B266-4790-95A7-7DA652876459}">
  <dimension ref="A1:C13"/>
  <sheetViews>
    <sheetView workbookViewId="0"/>
  </sheetViews>
  <sheetFormatPr defaultRowHeight="14.5" x14ac:dyDescent="0.35"/>
  <cols>
    <col min="1" max="1" width="12.6328125" bestFit="1" customWidth="1"/>
    <col min="2" max="2" width="8.81640625" bestFit="1" customWidth="1"/>
    <col min="3" max="3" width="11.81640625" bestFit="1" customWidth="1"/>
    <col min="4" max="4" width="6.6328125" bestFit="1" customWidth="1"/>
  </cols>
  <sheetData>
    <row r="1" spans="1:3" x14ac:dyDescent="0.35">
      <c r="A1" s="1" t="s">
        <v>17</v>
      </c>
      <c r="B1" s="1" t="s">
        <v>0</v>
      </c>
    </row>
    <row r="2" spans="1:3" x14ac:dyDescent="0.35">
      <c r="A2" t="s">
        <v>11</v>
      </c>
      <c r="B2" t="s">
        <v>4</v>
      </c>
      <c r="C2" s="2">
        <v>28</v>
      </c>
    </row>
    <row r="3" spans="1:3" x14ac:dyDescent="0.35">
      <c r="B3" t="s">
        <v>7</v>
      </c>
      <c r="C3" s="2">
        <v>20</v>
      </c>
    </row>
    <row r="4" spans="1:3" x14ac:dyDescent="0.35">
      <c r="B4" t="s">
        <v>8</v>
      </c>
      <c r="C4" s="2"/>
    </row>
    <row r="5" spans="1:3" x14ac:dyDescent="0.35">
      <c r="A5" t="s">
        <v>14</v>
      </c>
      <c r="B5" t="s">
        <v>4</v>
      </c>
      <c r="C5" s="2">
        <v>1.75</v>
      </c>
    </row>
    <row r="6" spans="1:3" x14ac:dyDescent="0.35">
      <c r="B6" t="s">
        <v>7</v>
      </c>
      <c r="C6" s="2">
        <v>2.3333333333333335</v>
      </c>
    </row>
    <row r="7" spans="1:3" x14ac:dyDescent="0.35">
      <c r="B7" t="s">
        <v>8</v>
      </c>
      <c r="C7" s="2">
        <v>5</v>
      </c>
    </row>
    <row r="8" spans="1:3" x14ac:dyDescent="0.35">
      <c r="A8" t="s">
        <v>16</v>
      </c>
      <c r="B8" t="s">
        <v>4</v>
      </c>
      <c r="C8" s="2">
        <v>4</v>
      </c>
    </row>
    <row r="9" spans="1:3" x14ac:dyDescent="0.35">
      <c r="B9" t="s">
        <v>7</v>
      </c>
      <c r="C9" s="2">
        <v>3</v>
      </c>
    </row>
    <row r="10" spans="1:3" x14ac:dyDescent="0.35">
      <c r="B10" t="s">
        <v>8</v>
      </c>
      <c r="C10" s="2"/>
    </row>
    <row r="11" spans="1:3" x14ac:dyDescent="0.35">
      <c r="A11" t="s">
        <v>12</v>
      </c>
      <c r="C11" s="2">
        <v>48</v>
      </c>
    </row>
    <row r="12" spans="1:3" x14ac:dyDescent="0.35">
      <c r="A12" t="s">
        <v>13</v>
      </c>
      <c r="C12" s="2">
        <v>2.375</v>
      </c>
    </row>
    <row r="13" spans="1:3" x14ac:dyDescent="0.35">
      <c r="A13" t="s">
        <v>15</v>
      </c>
      <c r="C13" s="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47142-C470-4933-9969-5F5E6A9DA247}">
  <dimension ref="A1:E14"/>
  <sheetViews>
    <sheetView workbookViewId="0"/>
  </sheetViews>
  <sheetFormatPr defaultRowHeight="14.5" x14ac:dyDescent="0.35"/>
  <cols>
    <col min="1" max="1" width="12.6328125" bestFit="1" customWidth="1"/>
    <col min="2" max="2" width="8.81640625" bestFit="1" customWidth="1"/>
    <col min="3" max="4" width="9.6328125" bestFit="1" customWidth="1"/>
    <col min="5" max="5" width="11.81640625" bestFit="1" customWidth="1"/>
    <col min="6" max="6" width="8.1796875" bestFit="1" customWidth="1"/>
    <col min="7" max="7" width="6.6328125" bestFit="1" customWidth="1"/>
    <col min="8" max="8" width="12.54296875" bestFit="1" customWidth="1"/>
    <col min="9" max="9" width="12.6328125" bestFit="1" customWidth="1"/>
    <col min="10" max="10" width="11.08984375" bestFit="1" customWidth="1"/>
  </cols>
  <sheetData>
    <row r="1" spans="1:5" x14ac:dyDescent="0.35">
      <c r="C1" s="1" t="s">
        <v>1</v>
      </c>
    </row>
    <row r="2" spans="1:5" x14ac:dyDescent="0.35">
      <c r="A2" s="1" t="s">
        <v>17</v>
      </c>
      <c r="B2" s="1" t="s">
        <v>0</v>
      </c>
      <c r="C2" t="s">
        <v>5</v>
      </c>
      <c r="D2" t="s">
        <v>6</v>
      </c>
      <c r="E2" t="s">
        <v>10</v>
      </c>
    </row>
    <row r="3" spans="1:5" x14ac:dyDescent="0.35">
      <c r="A3" t="s">
        <v>11</v>
      </c>
      <c r="B3" t="s">
        <v>4</v>
      </c>
      <c r="C3" s="2">
        <v>8</v>
      </c>
      <c r="D3" s="2">
        <v>20</v>
      </c>
      <c r="E3" s="2">
        <v>28</v>
      </c>
    </row>
    <row r="4" spans="1:5" x14ac:dyDescent="0.35">
      <c r="B4" t="s">
        <v>7</v>
      </c>
      <c r="C4" s="2">
        <v>5</v>
      </c>
      <c r="D4" s="2">
        <v>15</v>
      </c>
      <c r="E4" s="2">
        <v>20</v>
      </c>
    </row>
    <row r="5" spans="1:5" x14ac:dyDescent="0.35">
      <c r="B5" t="s">
        <v>8</v>
      </c>
      <c r="C5" s="2"/>
      <c r="D5" s="2"/>
      <c r="E5" s="2"/>
    </row>
    <row r="6" spans="1:5" x14ac:dyDescent="0.35">
      <c r="A6" t="s">
        <v>14</v>
      </c>
      <c r="B6" t="s">
        <v>4</v>
      </c>
      <c r="C6" s="2">
        <v>1.5</v>
      </c>
      <c r="D6" s="2">
        <v>2</v>
      </c>
      <c r="E6" s="2">
        <v>1.75</v>
      </c>
    </row>
    <row r="7" spans="1:5" x14ac:dyDescent="0.35">
      <c r="B7" t="s">
        <v>7</v>
      </c>
      <c r="C7" s="2">
        <v>1.5</v>
      </c>
      <c r="D7" s="2">
        <v>4</v>
      </c>
      <c r="E7" s="2">
        <v>2.3333333333333335</v>
      </c>
    </row>
    <row r="8" spans="1:5" x14ac:dyDescent="0.35">
      <c r="B8" t="s">
        <v>8</v>
      </c>
      <c r="C8" s="2"/>
      <c r="D8" s="2">
        <v>5</v>
      </c>
      <c r="E8" s="2">
        <v>5</v>
      </c>
    </row>
    <row r="9" spans="1:5" x14ac:dyDescent="0.35">
      <c r="A9" t="s">
        <v>16</v>
      </c>
      <c r="B9" t="s">
        <v>4</v>
      </c>
      <c r="C9" s="2">
        <v>2</v>
      </c>
      <c r="D9" s="2">
        <v>2</v>
      </c>
      <c r="E9" s="2">
        <v>4</v>
      </c>
    </row>
    <row r="10" spans="1:5" x14ac:dyDescent="0.35">
      <c r="B10" t="s">
        <v>7</v>
      </c>
      <c r="C10" s="2">
        <v>2</v>
      </c>
      <c r="D10" s="2">
        <v>1</v>
      </c>
      <c r="E10" s="2">
        <v>3</v>
      </c>
    </row>
    <row r="11" spans="1:5" x14ac:dyDescent="0.35">
      <c r="B11" t="s">
        <v>8</v>
      </c>
      <c r="C11" s="2"/>
      <c r="D11" s="2"/>
      <c r="E11" s="2"/>
    </row>
    <row r="12" spans="1:5" x14ac:dyDescent="0.35">
      <c r="A12" t="s">
        <v>12</v>
      </c>
      <c r="C12" s="2">
        <v>13</v>
      </c>
      <c r="D12" s="2">
        <v>35</v>
      </c>
      <c r="E12" s="2">
        <v>48</v>
      </c>
    </row>
    <row r="13" spans="1:5" x14ac:dyDescent="0.35">
      <c r="A13" t="s">
        <v>13</v>
      </c>
      <c r="C13" s="2">
        <v>1.5</v>
      </c>
      <c r="D13" s="2">
        <v>3.25</v>
      </c>
      <c r="E13" s="2">
        <v>2.375</v>
      </c>
    </row>
    <row r="14" spans="1:5" x14ac:dyDescent="0.35">
      <c r="A14" t="s">
        <v>15</v>
      </c>
      <c r="C14" s="2">
        <v>4</v>
      </c>
      <c r="D14" s="2">
        <v>3</v>
      </c>
      <c r="E14" s="2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9A23E-8680-4713-8C31-334AA510E091}">
  <dimension ref="A1:J7"/>
  <sheetViews>
    <sheetView workbookViewId="0"/>
  </sheetViews>
  <sheetFormatPr defaultRowHeight="14.5" x14ac:dyDescent="0.35"/>
  <cols>
    <col min="1" max="1" width="10.36328125" bestFit="1" customWidth="1"/>
    <col min="2" max="7" width="9.6328125" bestFit="1" customWidth="1"/>
    <col min="8" max="8" width="12.54296875" bestFit="1" customWidth="1"/>
    <col min="9" max="9" width="12.6328125" bestFit="1" customWidth="1"/>
    <col min="10" max="10" width="11.08984375" bestFit="1" customWidth="1"/>
  </cols>
  <sheetData>
    <row r="1" spans="1:10" x14ac:dyDescent="0.35">
      <c r="B1" s="1" t="s">
        <v>17</v>
      </c>
      <c r="C1" s="1" t="s">
        <v>1</v>
      </c>
    </row>
    <row r="2" spans="1:10" x14ac:dyDescent="0.35">
      <c r="B2" t="s">
        <v>11</v>
      </c>
      <c r="D2" t="s">
        <v>14</v>
      </c>
      <c r="F2" t="s">
        <v>16</v>
      </c>
      <c r="H2" t="s">
        <v>12</v>
      </c>
      <c r="I2" t="s">
        <v>13</v>
      </c>
      <c r="J2" t="s">
        <v>15</v>
      </c>
    </row>
    <row r="3" spans="1:10" x14ac:dyDescent="0.35">
      <c r="A3" s="1" t="s">
        <v>0</v>
      </c>
      <c r="B3" t="s">
        <v>5</v>
      </c>
      <c r="C3" t="s">
        <v>6</v>
      </c>
      <c r="D3" t="s">
        <v>5</v>
      </c>
      <c r="E3" t="s">
        <v>6</v>
      </c>
      <c r="F3" t="s">
        <v>5</v>
      </c>
      <c r="G3" t="s">
        <v>6</v>
      </c>
    </row>
    <row r="4" spans="1:10" x14ac:dyDescent="0.35">
      <c r="A4" t="s">
        <v>4</v>
      </c>
      <c r="B4" s="2">
        <v>8</v>
      </c>
      <c r="C4" s="2">
        <v>20</v>
      </c>
      <c r="D4" s="2">
        <v>1.5</v>
      </c>
      <c r="E4" s="2">
        <v>2</v>
      </c>
      <c r="F4" s="2">
        <v>2</v>
      </c>
      <c r="G4" s="2">
        <v>2</v>
      </c>
      <c r="H4" s="2">
        <v>28</v>
      </c>
      <c r="I4" s="2">
        <v>1.75</v>
      </c>
      <c r="J4" s="2">
        <v>4</v>
      </c>
    </row>
    <row r="5" spans="1:10" x14ac:dyDescent="0.35">
      <c r="A5" t="s">
        <v>7</v>
      </c>
      <c r="B5" s="2">
        <v>5</v>
      </c>
      <c r="C5" s="2">
        <v>15</v>
      </c>
      <c r="D5" s="2">
        <v>1.5</v>
      </c>
      <c r="E5" s="2">
        <v>4</v>
      </c>
      <c r="F5" s="2">
        <v>2</v>
      </c>
      <c r="G5" s="2">
        <v>1</v>
      </c>
      <c r="H5" s="2">
        <v>20</v>
      </c>
      <c r="I5" s="2">
        <v>2.3333333333333335</v>
      </c>
      <c r="J5" s="2">
        <v>3</v>
      </c>
    </row>
    <row r="6" spans="1:10" x14ac:dyDescent="0.35">
      <c r="A6" t="s">
        <v>8</v>
      </c>
      <c r="B6" s="2"/>
      <c r="C6" s="2"/>
      <c r="D6" s="2"/>
      <c r="E6" s="2">
        <v>5</v>
      </c>
      <c r="F6" s="2"/>
      <c r="G6" s="2"/>
      <c r="H6" s="2"/>
      <c r="I6" s="2">
        <v>5</v>
      </c>
      <c r="J6" s="2"/>
    </row>
    <row r="7" spans="1:10" x14ac:dyDescent="0.35">
      <c r="A7" t="s">
        <v>10</v>
      </c>
      <c r="B7" s="2">
        <v>13</v>
      </c>
      <c r="C7" s="2">
        <v>35</v>
      </c>
      <c r="D7" s="2">
        <v>1.5</v>
      </c>
      <c r="E7" s="2">
        <v>3.25</v>
      </c>
      <c r="F7" s="2">
        <v>4</v>
      </c>
      <c r="G7" s="2">
        <v>3</v>
      </c>
      <c r="H7" s="2">
        <v>48</v>
      </c>
      <c r="I7" s="2">
        <v>2.375</v>
      </c>
      <c r="J7" s="2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74B7A-1A7F-4264-A81B-5942B1B1D11A}">
  <dimension ref="A1:B4"/>
  <sheetViews>
    <sheetView workbookViewId="0"/>
  </sheetViews>
  <sheetFormatPr defaultRowHeight="14.5" x14ac:dyDescent="0.35"/>
  <cols>
    <col min="1" max="1" width="7.90625" bestFit="1" customWidth="1"/>
    <col min="2" max="2" width="5.81640625" bestFit="1" customWidth="1"/>
    <col min="3" max="3" width="6.6328125" bestFit="1" customWidth="1"/>
  </cols>
  <sheetData>
    <row r="1" spans="1:2" x14ac:dyDescent="0.35">
      <c r="A1" s="1" t="s">
        <v>17</v>
      </c>
    </row>
    <row r="2" spans="1:2" x14ac:dyDescent="0.35">
      <c r="A2" t="s">
        <v>11</v>
      </c>
      <c r="B2" s="2">
        <v>48</v>
      </c>
    </row>
    <row r="3" spans="1:2" x14ac:dyDescent="0.35">
      <c r="A3" t="s">
        <v>14</v>
      </c>
      <c r="B3" s="2">
        <v>2.375</v>
      </c>
    </row>
    <row r="4" spans="1:2" x14ac:dyDescent="0.35">
      <c r="A4" t="s">
        <v>16</v>
      </c>
      <c r="B4" s="2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C47E9-A708-4E38-9FBE-A365181D14E3}">
  <dimension ref="A1:C2"/>
  <sheetViews>
    <sheetView workbookViewId="0"/>
  </sheetViews>
  <sheetFormatPr defaultRowHeight="14.5" x14ac:dyDescent="0.35"/>
  <cols>
    <col min="1" max="1" width="8.08984375" bestFit="1" customWidth="1"/>
    <col min="2" max="2" width="8.1796875" bestFit="1" customWidth="1"/>
    <col min="3" max="3" width="6.6328125" bestFit="1" customWidth="1"/>
  </cols>
  <sheetData>
    <row r="1" spans="1:3" x14ac:dyDescent="0.35">
      <c r="A1" t="s">
        <v>11</v>
      </c>
      <c r="B1" t="s">
        <v>14</v>
      </c>
      <c r="C1" t="s">
        <v>16</v>
      </c>
    </row>
    <row r="2" spans="1:3" x14ac:dyDescent="0.35">
      <c r="A2" s="2">
        <v>48</v>
      </c>
      <c r="B2" s="2">
        <v>2.375</v>
      </c>
      <c r="C2" s="2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50C4-E99E-428D-B8C7-66C385834FA7}">
  <dimension ref="A1:D5"/>
  <sheetViews>
    <sheetView workbookViewId="0"/>
  </sheetViews>
  <sheetFormatPr defaultRowHeight="14.5" x14ac:dyDescent="0.35"/>
  <cols>
    <col min="1" max="1" width="7.90625" bestFit="1" customWidth="1"/>
    <col min="2" max="3" width="9.6328125" bestFit="1" customWidth="1"/>
    <col min="4" max="4" width="10.36328125" bestFit="1" customWidth="1"/>
    <col min="5" max="6" width="15.6328125" bestFit="1" customWidth="1"/>
    <col min="7" max="7" width="12.54296875" bestFit="1" customWidth="1"/>
    <col min="8" max="8" width="12.6328125" bestFit="1" customWidth="1"/>
    <col min="9" max="9" width="11.08984375" bestFit="1" customWidth="1"/>
  </cols>
  <sheetData>
    <row r="1" spans="1:4" x14ac:dyDescent="0.35">
      <c r="B1" s="1" t="s">
        <v>1</v>
      </c>
    </row>
    <row r="2" spans="1:4" x14ac:dyDescent="0.35">
      <c r="A2" s="1" t="s">
        <v>17</v>
      </c>
      <c r="B2" t="s">
        <v>5</v>
      </c>
      <c r="C2" t="s">
        <v>6</v>
      </c>
      <c r="D2" t="s">
        <v>10</v>
      </c>
    </row>
    <row r="3" spans="1:4" x14ac:dyDescent="0.35">
      <c r="A3" t="s">
        <v>11</v>
      </c>
      <c r="B3" s="2">
        <v>13</v>
      </c>
      <c r="C3" s="2">
        <v>35</v>
      </c>
      <c r="D3" s="2">
        <v>48</v>
      </c>
    </row>
    <row r="4" spans="1:4" x14ac:dyDescent="0.35">
      <c r="A4" t="s">
        <v>14</v>
      </c>
      <c r="B4" s="2">
        <v>1.5</v>
      </c>
      <c r="C4" s="2">
        <v>3.25</v>
      </c>
      <c r="D4" s="2">
        <v>2.375</v>
      </c>
    </row>
    <row r="5" spans="1:4" x14ac:dyDescent="0.35">
      <c r="A5" t="s">
        <v>16</v>
      </c>
      <c r="B5" s="2">
        <v>4</v>
      </c>
      <c r="C5" s="2">
        <v>3</v>
      </c>
      <c r="D5" s="2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E4422-D8FD-4924-88F2-68BAD0859D2A}">
  <dimension ref="A1:I4"/>
  <sheetViews>
    <sheetView workbookViewId="0"/>
  </sheetViews>
  <sheetFormatPr defaultRowHeight="14.5" x14ac:dyDescent="0.35"/>
  <cols>
    <col min="1" max="6" width="9.6328125" bestFit="1" customWidth="1"/>
    <col min="7" max="7" width="12.54296875" bestFit="1" customWidth="1"/>
    <col min="8" max="8" width="12.6328125" bestFit="1" customWidth="1"/>
    <col min="9" max="9" width="11.08984375" bestFit="1" customWidth="1"/>
  </cols>
  <sheetData>
    <row r="1" spans="1:9" x14ac:dyDescent="0.35">
      <c r="A1" s="1" t="s">
        <v>1</v>
      </c>
      <c r="B1" s="1" t="s">
        <v>17</v>
      </c>
    </row>
    <row r="2" spans="1:9" x14ac:dyDescent="0.35">
      <c r="A2" t="s">
        <v>5</v>
      </c>
      <c r="D2" t="s">
        <v>6</v>
      </c>
      <c r="G2" t="s">
        <v>12</v>
      </c>
      <c r="H2" t="s">
        <v>13</v>
      </c>
      <c r="I2" t="s">
        <v>15</v>
      </c>
    </row>
    <row r="3" spans="1:9" x14ac:dyDescent="0.35">
      <c r="A3" t="s">
        <v>11</v>
      </c>
      <c r="B3" t="s">
        <v>14</v>
      </c>
      <c r="C3" t="s">
        <v>16</v>
      </c>
      <c r="D3" t="s">
        <v>11</v>
      </c>
      <c r="E3" t="s">
        <v>14</v>
      </c>
      <c r="F3" t="s">
        <v>16</v>
      </c>
    </row>
    <row r="4" spans="1:9" x14ac:dyDescent="0.35">
      <c r="A4" s="2">
        <v>13</v>
      </c>
      <c r="B4" s="2">
        <v>1.5</v>
      </c>
      <c r="C4" s="2">
        <v>4</v>
      </c>
      <c r="D4" s="2">
        <v>35</v>
      </c>
      <c r="E4" s="2">
        <v>3.25</v>
      </c>
      <c r="F4" s="2">
        <v>3</v>
      </c>
      <c r="G4" s="2">
        <v>48</v>
      </c>
      <c r="H4" s="2">
        <v>2.375</v>
      </c>
      <c r="I4" s="2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7A7E7-AEEF-4F57-921C-DB2F8FE2707F}">
  <dimension ref="A1:C13"/>
  <sheetViews>
    <sheetView workbookViewId="0"/>
  </sheetViews>
  <sheetFormatPr defaultRowHeight="14.5" x14ac:dyDescent="0.35"/>
  <cols>
    <col min="1" max="1" width="12.6328125" bestFit="1" customWidth="1"/>
    <col min="2" max="2" width="8.7265625" bestFit="1" customWidth="1"/>
    <col min="3" max="3" width="11.81640625" bestFit="1" customWidth="1"/>
    <col min="4" max="4" width="6.6328125" bestFit="1" customWidth="1"/>
  </cols>
  <sheetData>
    <row r="1" spans="1:3" x14ac:dyDescent="0.35">
      <c r="A1" s="1" t="s">
        <v>0</v>
      </c>
      <c r="B1" s="1" t="s">
        <v>17</v>
      </c>
    </row>
    <row r="2" spans="1:3" x14ac:dyDescent="0.35">
      <c r="A2" t="s">
        <v>4</v>
      </c>
      <c r="B2" t="s">
        <v>11</v>
      </c>
      <c r="C2" s="2">
        <v>28</v>
      </c>
    </row>
    <row r="3" spans="1:3" x14ac:dyDescent="0.35">
      <c r="B3" t="s">
        <v>14</v>
      </c>
      <c r="C3" s="2">
        <v>1.75</v>
      </c>
    </row>
    <row r="4" spans="1:3" x14ac:dyDescent="0.35">
      <c r="B4" t="s">
        <v>16</v>
      </c>
      <c r="C4" s="2">
        <v>4</v>
      </c>
    </row>
    <row r="5" spans="1:3" x14ac:dyDescent="0.35">
      <c r="A5" t="s">
        <v>7</v>
      </c>
      <c r="B5" t="s">
        <v>11</v>
      </c>
      <c r="C5" s="2">
        <v>20</v>
      </c>
    </row>
    <row r="6" spans="1:3" x14ac:dyDescent="0.35">
      <c r="B6" t="s">
        <v>14</v>
      </c>
      <c r="C6" s="2">
        <v>2.3333333333333335</v>
      </c>
    </row>
    <row r="7" spans="1:3" x14ac:dyDescent="0.35">
      <c r="B7" t="s">
        <v>16</v>
      </c>
      <c r="C7" s="2">
        <v>3</v>
      </c>
    </row>
    <row r="8" spans="1:3" x14ac:dyDescent="0.35">
      <c r="A8" t="s">
        <v>8</v>
      </c>
      <c r="B8" t="s">
        <v>11</v>
      </c>
      <c r="C8" s="2"/>
    </row>
    <row r="9" spans="1:3" x14ac:dyDescent="0.35">
      <c r="B9" t="s">
        <v>14</v>
      </c>
      <c r="C9" s="2">
        <v>5</v>
      </c>
    </row>
    <row r="10" spans="1:3" x14ac:dyDescent="0.35">
      <c r="B10" t="s">
        <v>16</v>
      </c>
      <c r="C10" s="2"/>
    </row>
    <row r="11" spans="1:3" x14ac:dyDescent="0.35">
      <c r="A11" t="s">
        <v>12</v>
      </c>
      <c r="C11" s="2">
        <v>48</v>
      </c>
    </row>
    <row r="12" spans="1:3" x14ac:dyDescent="0.35">
      <c r="A12" t="s">
        <v>13</v>
      </c>
      <c r="C12" s="2">
        <v>2.375</v>
      </c>
    </row>
    <row r="13" spans="1:3" x14ac:dyDescent="0.35">
      <c r="A13" t="s">
        <v>15</v>
      </c>
      <c r="C13" s="2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9BB75-FAD7-48D8-8FE5-C501179A9ADB}">
  <dimension ref="A1:D5"/>
  <sheetViews>
    <sheetView workbookViewId="0"/>
  </sheetViews>
  <sheetFormatPr defaultRowHeight="14.5" x14ac:dyDescent="0.35"/>
  <cols>
    <col min="1" max="1" width="10.36328125" bestFit="1" customWidth="1"/>
    <col min="2" max="2" width="8.08984375" bestFit="1" customWidth="1"/>
    <col min="3" max="3" width="11.81640625" bestFit="1" customWidth="1"/>
    <col min="4" max="4" width="6.6328125" bestFit="1" customWidth="1"/>
  </cols>
  <sheetData>
    <row r="1" spans="1:4" x14ac:dyDescent="0.35">
      <c r="A1" s="1" t="s">
        <v>0</v>
      </c>
      <c r="B1" t="s">
        <v>11</v>
      </c>
      <c r="C1" t="s">
        <v>14</v>
      </c>
      <c r="D1" t="s">
        <v>16</v>
      </c>
    </row>
    <row r="2" spans="1:4" x14ac:dyDescent="0.35">
      <c r="A2" t="s">
        <v>4</v>
      </c>
      <c r="B2" s="2">
        <v>28</v>
      </c>
      <c r="C2" s="2">
        <v>1.75</v>
      </c>
      <c r="D2" s="2">
        <v>4</v>
      </c>
    </row>
    <row r="3" spans="1:4" x14ac:dyDescent="0.35">
      <c r="A3" t="s">
        <v>7</v>
      </c>
      <c r="B3" s="2">
        <v>20</v>
      </c>
      <c r="C3" s="2">
        <v>2.3333333333333335</v>
      </c>
      <c r="D3" s="2">
        <v>3</v>
      </c>
    </row>
    <row r="4" spans="1:4" x14ac:dyDescent="0.35">
      <c r="A4" t="s">
        <v>8</v>
      </c>
      <c r="B4" s="2"/>
      <c r="C4" s="2">
        <v>5</v>
      </c>
      <c r="D4" s="2"/>
    </row>
    <row r="5" spans="1:4" x14ac:dyDescent="0.35">
      <c r="A5" t="s">
        <v>10</v>
      </c>
      <c r="B5" s="2">
        <v>48</v>
      </c>
      <c r="C5" s="2">
        <v>2.375</v>
      </c>
      <c r="D5" s="2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02C8D-0491-4589-91B8-FCEAC05C8F88}">
  <dimension ref="A1:E14"/>
  <sheetViews>
    <sheetView workbookViewId="0"/>
  </sheetViews>
  <sheetFormatPr defaultRowHeight="14.5" x14ac:dyDescent="0.35"/>
  <cols>
    <col min="1" max="1" width="12.6328125" bestFit="1" customWidth="1"/>
    <col min="2" max="2" width="8.7265625" bestFit="1" customWidth="1"/>
    <col min="3" max="4" width="9.6328125" bestFit="1" customWidth="1"/>
    <col min="5" max="5" width="11.81640625" bestFit="1" customWidth="1"/>
    <col min="6" max="6" width="8.1796875" bestFit="1" customWidth="1"/>
    <col min="7" max="7" width="6.6328125" bestFit="1" customWidth="1"/>
    <col min="8" max="8" width="12.54296875" bestFit="1" customWidth="1"/>
    <col min="9" max="9" width="12.6328125" bestFit="1" customWidth="1"/>
    <col min="10" max="10" width="11.08984375" bestFit="1" customWidth="1"/>
  </cols>
  <sheetData>
    <row r="1" spans="1:5" x14ac:dyDescent="0.35">
      <c r="C1" s="1" t="s">
        <v>1</v>
      </c>
    </row>
    <row r="2" spans="1:5" x14ac:dyDescent="0.35">
      <c r="A2" s="1" t="s">
        <v>0</v>
      </c>
      <c r="B2" s="1" t="s">
        <v>17</v>
      </c>
      <c r="C2" t="s">
        <v>5</v>
      </c>
      <c r="D2" t="s">
        <v>6</v>
      </c>
      <c r="E2" t="s">
        <v>10</v>
      </c>
    </row>
    <row r="3" spans="1:5" x14ac:dyDescent="0.35">
      <c r="A3" t="s">
        <v>4</v>
      </c>
      <c r="B3" t="s">
        <v>11</v>
      </c>
      <c r="C3" s="2">
        <v>8</v>
      </c>
      <c r="D3" s="2">
        <v>20</v>
      </c>
      <c r="E3" s="2">
        <v>28</v>
      </c>
    </row>
    <row r="4" spans="1:5" x14ac:dyDescent="0.35">
      <c r="B4" t="s">
        <v>14</v>
      </c>
      <c r="C4" s="2">
        <v>1.5</v>
      </c>
      <c r="D4" s="2">
        <v>2</v>
      </c>
      <c r="E4" s="2">
        <v>1.75</v>
      </c>
    </row>
    <row r="5" spans="1:5" x14ac:dyDescent="0.35">
      <c r="B5" t="s">
        <v>16</v>
      </c>
      <c r="C5" s="2">
        <v>2</v>
      </c>
      <c r="D5" s="2">
        <v>2</v>
      </c>
      <c r="E5" s="2">
        <v>4</v>
      </c>
    </row>
    <row r="6" spans="1:5" x14ac:dyDescent="0.35">
      <c r="A6" t="s">
        <v>7</v>
      </c>
      <c r="B6" t="s">
        <v>11</v>
      </c>
      <c r="C6" s="2">
        <v>5</v>
      </c>
      <c r="D6" s="2">
        <v>15</v>
      </c>
      <c r="E6" s="2">
        <v>20</v>
      </c>
    </row>
    <row r="7" spans="1:5" x14ac:dyDescent="0.35">
      <c r="B7" t="s">
        <v>14</v>
      </c>
      <c r="C7" s="2">
        <v>1.5</v>
      </c>
      <c r="D7" s="2">
        <v>4</v>
      </c>
      <c r="E7" s="2">
        <v>2.3333333333333335</v>
      </c>
    </row>
    <row r="8" spans="1:5" x14ac:dyDescent="0.35">
      <c r="B8" t="s">
        <v>16</v>
      </c>
      <c r="C8" s="2">
        <v>2</v>
      </c>
      <c r="D8" s="2">
        <v>1</v>
      </c>
      <c r="E8" s="2">
        <v>3</v>
      </c>
    </row>
    <row r="9" spans="1:5" x14ac:dyDescent="0.35">
      <c r="A9" t="s">
        <v>8</v>
      </c>
      <c r="B9" t="s">
        <v>11</v>
      </c>
      <c r="C9" s="2"/>
      <c r="D9" s="2"/>
      <c r="E9" s="2"/>
    </row>
    <row r="10" spans="1:5" x14ac:dyDescent="0.35">
      <c r="B10" t="s">
        <v>14</v>
      </c>
      <c r="C10" s="2"/>
      <c r="D10" s="2">
        <v>5</v>
      </c>
      <c r="E10" s="2">
        <v>5</v>
      </c>
    </row>
    <row r="11" spans="1:5" x14ac:dyDescent="0.35">
      <c r="B11" t="s">
        <v>16</v>
      </c>
      <c r="C11" s="2"/>
      <c r="D11" s="2"/>
      <c r="E11" s="2"/>
    </row>
    <row r="12" spans="1:5" x14ac:dyDescent="0.35">
      <c r="A12" t="s">
        <v>12</v>
      </c>
      <c r="C12" s="2">
        <v>13</v>
      </c>
      <c r="D12" s="2">
        <v>35</v>
      </c>
      <c r="E12" s="2">
        <v>48</v>
      </c>
    </row>
    <row r="13" spans="1:5" x14ac:dyDescent="0.35">
      <c r="A13" t="s">
        <v>13</v>
      </c>
      <c r="C13" s="2">
        <v>1.5</v>
      </c>
      <c r="D13" s="2">
        <v>3.25</v>
      </c>
      <c r="E13" s="2">
        <v>2.375</v>
      </c>
    </row>
    <row r="14" spans="1:5" x14ac:dyDescent="0.35">
      <c r="A14" t="s">
        <v>15</v>
      </c>
      <c r="C14" s="2">
        <v>4</v>
      </c>
      <c r="D14" s="2">
        <v>3</v>
      </c>
      <c r="E14" s="2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FAE63-F199-44E7-B4E8-62DA9BCB2278}">
  <dimension ref="A1:J7"/>
  <sheetViews>
    <sheetView workbookViewId="0"/>
  </sheetViews>
  <sheetFormatPr defaultRowHeight="14.5" x14ac:dyDescent="0.35"/>
  <cols>
    <col min="1" max="1" width="10.36328125" bestFit="1" customWidth="1"/>
    <col min="2" max="7" width="9.6328125" bestFit="1" customWidth="1"/>
    <col min="8" max="8" width="12.54296875" bestFit="1" customWidth="1"/>
    <col min="9" max="9" width="12.6328125" bestFit="1" customWidth="1"/>
    <col min="10" max="10" width="11.08984375" bestFit="1" customWidth="1"/>
  </cols>
  <sheetData>
    <row r="1" spans="1:10" x14ac:dyDescent="0.35">
      <c r="B1" s="1" t="s">
        <v>1</v>
      </c>
      <c r="C1" s="1" t="s">
        <v>17</v>
      </c>
    </row>
    <row r="2" spans="1:10" x14ac:dyDescent="0.35">
      <c r="B2" t="s">
        <v>5</v>
      </c>
      <c r="E2" t="s">
        <v>6</v>
      </c>
      <c r="H2" t="s">
        <v>12</v>
      </c>
      <c r="I2" t="s">
        <v>13</v>
      </c>
      <c r="J2" t="s">
        <v>15</v>
      </c>
    </row>
    <row r="3" spans="1:10" x14ac:dyDescent="0.35">
      <c r="A3" s="1" t="s">
        <v>0</v>
      </c>
      <c r="B3" t="s">
        <v>11</v>
      </c>
      <c r="C3" t="s">
        <v>14</v>
      </c>
      <c r="D3" t="s">
        <v>16</v>
      </c>
      <c r="E3" t="s">
        <v>11</v>
      </c>
      <c r="F3" t="s">
        <v>14</v>
      </c>
      <c r="G3" t="s">
        <v>16</v>
      </c>
    </row>
    <row r="4" spans="1:10" x14ac:dyDescent="0.35">
      <c r="A4" t="s">
        <v>4</v>
      </c>
      <c r="B4" s="2">
        <v>8</v>
      </c>
      <c r="C4" s="2">
        <v>1.5</v>
      </c>
      <c r="D4" s="2">
        <v>2</v>
      </c>
      <c r="E4" s="2">
        <v>20</v>
      </c>
      <c r="F4" s="2">
        <v>2</v>
      </c>
      <c r="G4" s="2">
        <v>2</v>
      </c>
      <c r="H4" s="2">
        <v>28</v>
      </c>
      <c r="I4" s="2">
        <v>1.75</v>
      </c>
      <c r="J4" s="2">
        <v>4</v>
      </c>
    </row>
    <row r="5" spans="1:10" x14ac:dyDescent="0.35">
      <c r="A5" t="s">
        <v>7</v>
      </c>
      <c r="B5" s="2">
        <v>5</v>
      </c>
      <c r="C5" s="2">
        <v>1.5</v>
      </c>
      <c r="D5" s="2">
        <v>2</v>
      </c>
      <c r="E5" s="2">
        <v>15</v>
      </c>
      <c r="F5" s="2">
        <v>4</v>
      </c>
      <c r="G5" s="2">
        <v>1</v>
      </c>
      <c r="H5" s="2">
        <v>20</v>
      </c>
      <c r="I5" s="2">
        <v>2.3333333333333335</v>
      </c>
      <c r="J5" s="2">
        <v>3</v>
      </c>
    </row>
    <row r="6" spans="1:10" x14ac:dyDescent="0.35">
      <c r="A6" t="s">
        <v>8</v>
      </c>
      <c r="B6" s="2"/>
      <c r="C6" s="2"/>
      <c r="D6" s="2"/>
      <c r="E6" s="2"/>
      <c r="F6" s="2">
        <v>5</v>
      </c>
      <c r="G6" s="2"/>
      <c r="H6" s="2"/>
      <c r="I6" s="2">
        <v>5</v>
      </c>
      <c r="J6" s="2"/>
    </row>
    <row r="7" spans="1:10" x14ac:dyDescent="0.35">
      <c r="A7" t="s">
        <v>10</v>
      </c>
      <c r="B7" s="2">
        <v>13</v>
      </c>
      <c r="C7" s="2">
        <v>1.5</v>
      </c>
      <c r="D7" s="2">
        <v>4</v>
      </c>
      <c r="E7" s="2">
        <v>35</v>
      </c>
      <c r="F7" s="2">
        <v>3.25</v>
      </c>
      <c r="G7" s="2">
        <v>3</v>
      </c>
      <c r="H7" s="2">
        <v>48</v>
      </c>
      <c r="I7" s="2">
        <v>2.375</v>
      </c>
      <c r="J7" s="2">
        <v>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93419-E4B5-483B-B65D-9B524059E445}">
  <dimension ref="A1:B324"/>
  <sheetViews>
    <sheetView workbookViewId="0"/>
  </sheetViews>
  <sheetFormatPr defaultRowHeight="14.5" x14ac:dyDescent="0.35"/>
  <sheetData>
    <row r="1" spans="1:2" x14ac:dyDescent="0.35">
      <c r="A1" t="s">
        <v>18</v>
      </c>
      <c r="B1">
        <f>GETPIVOTDATA("Revenue",BothCol!A1)</f>
        <v>48</v>
      </c>
    </row>
    <row r="2" spans="1:2" x14ac:dyDescent="0.35">
      <c r="A2" t="s">
        <v>18</v>
      </c>
      <c r="B2">
        <f>GETPIVOTDATA("Revenue",BothCol!A1,"Region","North")</f>
        <v>28</v>
      </c>
    </row>
    <row r="3" spans="1:2" x14ac:dyDescent="0.35">
      <c r="A3" t="s">
        <v>18</v>
      </c>
      <c r="B3">
        <f>GETPIVOTDATA("Revenue",BothCol!A1,"Region","South")</f>
        <v>20</v>
      </c>
    </row>
    <row r="4" spans="1:2" x14ac:dyDescent="0.35">
      <c r="A4" t="s">
        <v>18</v>
      </c>
      <c r="B4">
        <f>GETPIVOTDATA("Revenue",BothCol!A1,"Region","West")</f>
        <v>0</v>
      </c>
    </row>
    <row r="5" spans="1:2" x14ac:dyDescent="0.35">
      <c r="A5" t="s">
        <v>18</v>
      </c>
      <c r="B5">
        <f>GETPIVOTDATA("Revenue",BothCol!A1,"Product","A")</f>
        <v>13</v>
      </c>
    </row>
    <row r="6" spans="1:2" x14ac:dyDescent="0.35">
      <c r="A6" t="s">
        <v>18</v>
      </c>
      <c r="B6">
        <f>GETPIVOTDATA("Revenue",BothCol!A1,"Product","B")</f>
        <v>35</v>
      </c>
    </row>
    <row r="7" spans="1:2" x14ac:dyDescent="0.35">
      <c r="A7" t="s">
        <v>18</v>
      </c>
      <c r="B7">
        <f>GETPIVOTDATA("Revenue",BothCol!A1,"Region","North","Product","A")</f>
        <v>8</v>
      </c>
    </row>
    <row r="8" spans="1:2" x14ac:dyDescent="0.35">
      <c r="A8" t="s">
        <v>18</v>
      </c>
      <c r="B8">
        <f>GETPIVOTDATA("Revenue",BothCol!A1,"Region","South","Product","B")</f>
        <v>15</v>
      </c>
    </row>
    <row r="9" spans="1:2" x14ac:dyDescent="0.35">
      <c r="A9" t="s">
        <v>18</v>
      </c>
      <c r="B9" t="e">
        <f>GETPIVOTDATA("Revenue",BothCol!A1,"Region","missing")</f>
        <v>#REF!</v>
      </c>
    </row>
    <row r="10" spans="1:2" x14ac:dyDescent="0.35">
      <c r="A10" t="s">
        <v>18</v>
      </c>
      <c r="B10">
        <f>GETPIVOTDATA("AvgUnits",BothCol!A1)</f>
        <v>2.375</v>
      </c>
    </row>
    <row r="11" spans="1:2" x14ac:dyDescent="0.35">
      <c r="A11" t="s">
        <v>18</v>
      </c>
      <c r="B11">
        <f>GETPIVOTDATA("AvgUnits",BothCol!A1,"Region","North")</f>
        <v>1.75</v>
      </c>
    </row>
    <row r="12" spans="1:2" x14ac:dyDescent="0.35">
      <c r="A12" t="s">
        <v>18</v>
      </c>
      <c r="B12">
        <f>GETPIVOTDATA("AvgUnits",BothCol!A1,"Region","South")</f>
        <v>2.3333333333333335</v>
      </c>
    </row>
    <row r="13" spans="1:2" x14ac:dyDescent="0.35">
      <c r="A13" t="s">
        <v>18</v>
      </c>
      <c r="B13">
        <f>GETPIVOTDATA("AvgUnits",BothCol!A1,"Region","West")</f>
        <v>5</v>
      </c>
    </row>
    <row r="14" spans="1:2" x14ac:dyDescent="0.35">
      <c r="A14" t="s">
        <v>18</v>
      </c>
      <c r="B14">
        <f>GETPIVOTDATA("AvgUnits",BothCol!A1,"Product","A")</f>
        <v>1.5</v>
      </c>
    </row>
    <row r="15" spans="1:2" x14ac:dyDescent="0.35">
      <c r="A15" t="s">
        <v>18</v>
      </c>
      <c r="B15">
        <f>GETPIVOTDATA("AvgUnits",BothCol!A1,"Product","B")</f>
        <v>3.25</v>
      </c>
    </row>
    <row r="16" spans="1:2" x14ac:dyDescent="0.35">
      <c r="A16" t="s">
        <v>18</v>
      </c>
      <c r="B16">
        <f>GETPIVOTDATA("AvgUnits",BothCol!A1,"Region","North","Product","A")</f>
        <v>1.5</v>
      </c>
    </row>
    <row r="17" spans="1:2" x14ac:dyDescent="0.35">
      <c r="A17" t="s">
        <v>18</v>
      </c>
      <c r="B17">
        <f>GETPIVOTDATA("AvgUnits",BothCol!A1,"Region","South","Product","B")</f>
        <v>4</v>
      </c>
    </row>
    <row r="18" spans="1:2" x14ac:dyDescent="0.35">
      <c r="A18" t="s">
        <v>18</v>
      </c>
      <c r="B18" t="e">
        <f>GETPIVOTDATA("AvgUnits",BothCol!A1,"Region","missing")</f>
        <v>#REF!</v>
      </c>
    </row>
    <row r="19" spans="1:2" x14ac:dyDescent="0.35">
      <c r="A19" t="s">
        <v>18</v>
      </c>
      <c r="B19">
        <f>GETPIVOTDATA("Entries",BothCol!A1)</f>
        <v>7</v>
      </c>
    </row>
    <row r="20" spans="1:2" x14ac:dyDescent="0.35">
      <c r="A20" t="s">
        <v>18</v>
      </c>
      <c r="B20">
        <f>GETPIVOTDATA("Entries",BothCol!A1,"Region","North")</f>
        <v>4</v>
      </c>
    </row>
    <row r="21" spans="1:2" x14ac:dyDescent="0.35">
      <c r="A21" t="s">
        <v>18</v>
      </c>
      <c r="B21">
        <f>GETPIVOTDATA("Entries",BothCol!A1,"Region","South")</f>
        <v>3</v>
      </c>
    </row>
    <row r="22" spans="1:2" x14ac:dyDescent="0.35">
      <c r="A22" t="s">
        <v>18</v>
      </c>
      <c r="B22">
        <f>GETPIVOTDATA("Entries",BothCol!A1,"Region","West")</f>
        <v>0</v>
      </c>
    </row>
    <row r="23" spans="1:2" x14ac:dyDescent="0.35">
      <c r="A23" t="s">
        <v>18</v>
      </c>
      <c r="B23">
        <f>GETPIVOTDATA("Entries",BothCol!A1,"Product","A")</f>
        <v>4</v>
      </c>
    </row>
    <row r="24" spans="1:2" x14ac:dyDescent="0.35">
      <c r="A24" t="s">
        <v>18</v>
      </c>
      <c r="B24">
        <f>GETPIVOTDATA("Entries",BothCol!A1,"Product","B")</f>
        <v>3</v>
      </c>
    </row>
    <row r="25" spans="1:2" x14ac:dyDescent="0.35">
      <c r="A25" t="s">
        <v>18</v>
      </c>
      <c r="B25">
        <f>GETPIVOTDATA("Entries",BothCol!A1,"Region","North","Product","A")</f>
        <v>2</v>
      </c>
    </row>
    <row r="26" spans="1:2" x14ac:dyDescent="0.35">
      <c r="A26" t="s">
        <v>18</v>
      </c>
      <c r="B26">
        <f>GETPIVOTDATA("Entries",BothCol!A1,"Region","South","Product","B")</f>
        <v>1</v>
      </c>
    </row>
    <row r="27" spans="1:2" x14ac:dyDescent="0.35">
      <c r="A27" t="s">
        <v>18</v>
      </c>
      <c r="B27" t="e">
        <f>GETPIVOTDATA("Entries",BothCol!A1,"Region","missing")</f>
        <v>#REF!</v>
      </c>
    </row>
    <row r="28" spans="1:2" x14ac:dyDescent="0.35">
      <c r="A28" t="s">
        <v>19</v>
      </c>
      <c r="B28">
        <f>GETPIVOTDATA("Revenue",BothRow!A1)</f>
        <v>48</v>
      </c>
    </row>
    <row r="29" spans="1:2" x14ac:dyDescent="0.35">
      <c r="A29" t="s">
        <v>19</v>
      </c>
      <c r="B29">
        <f>GETPIVOTDATA("Revenue",BothRow!A1,"Region","North")</f>
        <v>28</v>
      </c>
    </row>
    <row r="30" spans="1:2" x14ac:dyDescent="0.35">
      <c r="A30" t="s">
        <v>19</v>
      </c>
      <c r="B30">
        <f>GETPIVOTDATA("Revenue",BothRow!A1,"Region","South")</f>
        <v>20</v>
      </c>
    </row>
    <row r="31" spans="1:2" x14ac:dyDescent="0.35">
      <c r="A31" t="s">
        <v>19</v>
      </c>
      <c r="B31">
        <f>GETPIVOTDATA("Revenue",BothRow!A1,"Region","West")</f>
        <v>0</v>
      </c>
    </row>
    <row r="32" spans="1:2" x14ac:dyDescent="0.35">
      <c r="A32" t="s">
        <v>19</v>
      </c>
      <c r="B32">
        <f>GETPIVOTDATA("Revenue",BothRow!A1,"Product","A")</f>
        <v>13</v>
      </c>
    </row>
    <row r="33" spans="1:2" x14ac:dyDescent="0.35">
      <c r="A33" t="s">
        <v>19</v>
      </c>
      <c r="B33">
        <f>GETPIVOTDATA("Revenue",BothRow!A1,"Product","B")</f>
        <v>35</v>
      </c>
    </row>
    <row r="34" spans="1:2" x14ac:dyDescent="0.35">
      <c r="A34" t="s">
        <v>19</v>
      </c>
      <c r="B34">
        <f>GETPIVOTDATA("Revenue",BothRow!A1,"Region","North","Product","A")</f>
        <v>8</v>
      </c>
    </row>
    <row r="35" spans="1:2" x14ac:dyDescent="0.35">
      <c r="A35" t="s">
        <v>19</v>
      </c>
      <c r="B35">
        <f>GETPIVOTDATA("Revenue",BothRow!A1,"Region","South","Product","B")</f>
        <v>15</v>
      </c>
    </row>
    <row r="36" spans="1:2" x14ac:dyDescent="0.35">
      <c r="A36" t="s">
        <v>19</v>
      </c>
      <c r="B36" t="e">
        <f>GETPIVOTDATA("Revenue",BothRow!A1,"Region","missing")</f>
        <v>#REF!</v>
      </c>
    </row>
    <row r="37" spans="1:2" x14ac:dyDescent="0.35">
      <c r="A37" t="s">
        <v>19</v>
      </c>
      <c r="B37">
        <f>GETPIVOTDATA("AvgUnits",BothRow!A1)</f>
        <v>2.375</v>
      </c>
    </row>
    <row r="38" spans="1:2" x14ac:dyDescent="0.35">
      <c r="A38" t="s">
        <v>19</v>
      </c>
      <c r="B38">
        <f>GETPIVOTDATA("AvgUnits",BothRow!A1,"Region","North")</f>
        <v>1.75</v>
      </c>
    </row>
    <row r="39" spans="1:2" x14ac:dyDescent="0.35">
      <c r="A39" t="s">
        <v>19</v>
      </c>
      <c r="B39">
        <f>GETPIVOTDATA("AvgUnits",BothRow!A1,"Region","South")</f>
        <v>2.3333333333333335</v>
      </c>
    </row>
    <row r="40" spans="1:2" x14ac:dyDescent="0.35">
      <c r="A40" t="s">
        <v>19</v>
      </c>
      <c r="B40">
        <f>GETPIVOTDATA("AvgUnits",BothRow!A1,"Region","West")</f>
        <v>5</v>
      </c>
    </row>
    <row r="41" spans="1:2" x14ac:dyDescent="0.35">
      <c r="A41" t="s">
        <v>19</v>
      </c>
      <c r="B41">
        <f>GETPIVOTDATA("AvgUnits",BothRow!A1,"Product","A")</f>
        <v>1.5</v>
      </c>
    </row>
    <row r="42" spans="1:2" x14ac:dyDescent="0.35">
      <c r="A42" t="s">
        <v>19</v>
      </c>
      <c r="B42">
        <f>GETPIVOTDATA("AvgUnits",BothRow!A1,"Product","B")</f>
        <v>3.25</v>
      </c>
    </row>
    <row r="43" spans="1:2" x14ac:dyDescent="0.35">
      <c r="A43" t="s">
        <v>19</v>
      </c>
      <c r="B43">
        <f>GETPIVOTDATA("AvgUnits",BothRow!A1,"Region","North","Product","A")</f>
        <v>1.5</v>
      </c>
    </row>
    <row r="44" spans="1:2" x14ac:dyDescent="0.35">
      <c r="A44" t="s">
        <v>19</v>
      </c>
      <c r="B44">
        <f>GETPIVOTDATA("AvgUnits",BothRow!A1,"Region","South","Product","B")</f>
        <v>4</v>
      </c>
    </row>
    <row r="45" spans="1:2" x14ac:dyDescent="0.35">
      <c r="A45" t="s">
        <v>19</v>
      </c>
      <c r="B45" t="e">
        <f>GETPIVOTDATA("AvgUnits",BothRow!A1,"Region","missing")</f>
        <v>#REF!</v>
      </c>
    </row>
    <row r="46" spans="1:2" x14ac:dyDescent="0.35">
      <c r="A46" t="s">
        <v>19</v>
      </c>
      <c r="B46">
        <f>GETPIVOTDATA("Entries",BothRow!A1)</f>
        <v>7</v>
      </c>
    </row>
    <row r="47" spans="1:2" x14ac:dyDescent="0.35">
      <c r="A47" t="s">
        <v>19</v>
      </c>
      <c r="B47">
        <f>GETPIVOTDATA("Entries",BothRow!A1,"Region","North")</f>
        <v>4</v>
      </c>
    </row>
    <row r="48" spans="1:2" x14ac:dyDescent="0.35">
      <c r="A48" t="s">
        <v>19</v>
      </c>
      <c r="B48">
        <f>GETPIVOTDATA("Entries",BothRow!A1,"Region","South")</f>
        <v>3</v>
      </c>
    </row>
    <row r="49" spans="1:2" x14ac:dyDescent="0.35">
      <c r="A49" t="s">
        <v>19</v>
      </c>
      <c r="B49">
        <f>GETPIVOTDATA("Entries",BothRow!A1,"Region","West")</f>
        <v>0</v>
      </c>
    </row>
    <row r="50" spans="1:2" x14ac:dyDescent="0.35">
      <c r="A50" t="s">
        <v>19</v>
      </c>
      <c r="B50">
        <f>GETPIVOTDATA("Entries",BothRow!A1,"Product","A")</f>
        <v>4</v>
      </c>
    </row>
    <row r="51" spans="1:2" x14ac:dyDescent="0.35">
      <c r="A51" t="s">
        <v>19</v>
      </c>
      <c r="B51">
        <f>GETPIVOTDATA("Entries",BothRow!A1,"Product","B")</f>
        <v>3</v>
      </c>
    </row>
    <row r="52" spans="1:2" x14ac:dyDescent="0.35">
      <c r="A52" t="s">
        <v>19</v>
      </c>
      <c r="B52">
        <f>GETPIVOTDATA("Entries",BothRow!A1,"Region","North","Product","A")</f>
        <v>2</v>
      </c>
    </row>
    <row r="53" spans="1:2" x14ac:dyDescent="0.35">
      <c r="A53" t="s">
        <v>19</v>
      </c>
      <c r="B53">
        <f>GETPIVOTDATA("Entries",BothRow!A1,"Region","South","Product","B")</f>
        <v>1</v>
      </c>
    </row>
    <row r="54" spans="1:2" x14ac:dyDescent="0.35">
      <c r="A54" t="s">
        <v>19</v>
      </c>
      <c r="B54" t="e">
        <f>GETPIVOTDATA("Entries",BothRow!A1,"Region","missing")</f>
        <v>#REF!</v>
      </c>
    </row>
    <row r="55" spans="1:2" x14ac:dyDescent="0.35">
      <c r="A55" t="s">
        <v>20</v>
      </c>
      <c r="B55">
        <f>GETPIVOTDATA("Revenue",RowCol!A1)</f>
        <v>48</v>
      </c>
    </row>
    <row r="56" spans="1:2" x14ac:dyDescent="0.35">
      <c r="A56" t="s">
        <v>20</v>
      </c>
      <c r="B56">
        <f>GETPIVOTDATA("Revenue",RowCol!A1,"Region","North")</f>
        <v>28</v>
      </c>
    </row>
    <row r="57" spans="1:2" x14ac:dyDescent="0.35">
      <c r="A57" t="s">
        <v>20</v>
      </c>
      <c r="B57">
        <f>GETPIVOTDATA("Revenue",RowCol!A1,"Region","South")</f>
        <v>20</v>
      </c>
    </row>
    <row r="58" spans="1:2" x14ac:dyDescent="0.35">
      <c r="A58" t="s">
        <v>20</v>
      </c>
      <c r="B58">
        <f>GETPIVOTDATA("Revenue",RowCol!A1,"Region","West")</f>
        <v>0</v>
      </c>
    </row>
    <row r="59" spans="1:2" x14ac:dyDescent="0.35">
      <c r="A59" t="s">
        <v>20</v>
      </c>
      <c r="B59" t="e">
        <f>GETPIVOTDATA("Revenue",RowCol!A1,"Product","A")</f>
        <v>#REF!</v>
      </c>
    </row>
    <row r="60" spans="1:2" x14ac:dyDescent="0.35">
      <c r="A60" t="s">
        <v>20</v>
      </c>
      <c r="B60" t="e">
        <f>GETPIVOTDATA("Revenue",RowCol!A1,"Product","B")</f>
        <v>#REF!</v>
      </c>
    </row>
    <row r="61" spans="1:2" x14ac:dyDescent="0.35">
      <c r="A61" t="s">
        <v>20</v>
      </c>
      <c r="B61" t="e">
        <f>GETPIVOTDATA("Revenue",RowCol!A1,"Region","North","Product","A")</f>
        <v>#REF!</v>
      </c>
    </row>
    <row r="62" spans="1:2" x14ac:dyDescent="0.35">
      <c r="A62" t="s">
        <v>20</v>
      </c>
      <c r="B62" t="e">
        <f>GETPIVOTDATA("Revenue",RowCol!A1,"Region","South","Product","B")</f>
        <v>#REF!</v>
      </c>
    </row>
    <row r="63" spans="1:2" x14ac:dyDescent="0.35">
      <c r="A63" t="s">
        <v>20</v>
      </c>
      <c r="B63" t="e">
        <f>GETPIVOTDATA("Revenue",RowCol!A1,"Region","missing")</f>
        <v>#REF!</v>
      </c>
    </row>
    <row r="64" spans="1:2" x14ac:dyDescent="0.35">
      <c r="A64" t="s">
        <v>20</v>
      </c>
      <c r="B64">
        <f>GETPIVOTDATA("AvgUnits",RowCol!A1)</f>
        <v>2.375</v>
      </c>
    </row>
    <row r="65" spans="1:2" x14ac:dyDescent="0.35">
      <c r="A65" t="s">
        <v>20</v>
      </c>
      <c r="B65">
        <f>GETPIVOTDATA("AvgUnits",RowCol!A1,"Region","North")</f>
        <v>1.75</v>
      </c>
    </row>
    <row r="66" spans="1:2" x14ac:dyDescent="0.35">
      <c r="A66" t="s">
        <v>20</v>
      </c>
      <c r="B66">
        <f>GETPIVOTDATA("AvgUnits",RowCol!A1,"Region","South")</f>
        <v>2.3333333333333335</v>
      </c>
    </row>
    <row r="67" spans="1:2" x14ac:dyDescent="0.35">
      <c r="A67" t="s">
        <v>20</v>
      </c>
      <c r="B67">
        <f>GETPIVOTDATA("AvgUnits",RowCol!A1,"Region","West")</f>
        <v>5</v>
      </c>
    </row>
    <row r="68" spans="1:2" x14ac:dyDescent="0.35">
      <c r="A68" t="s">
        <v>20</v>
      </c>
      <c r="B68" t="e">
        <f>GETPIVOTDATA("AvgUnits",RowCol!A1,"Product","A")</f>
        <v>#REF!</v>
      </c>
    </row>
    <row r="69" spans="1:2" x14ac:dyDescent="0.35">
      <c r="A69" t="s">
        <v>20</v>
      </c>
      <c r="B69" t="e">
        <f>GETPIVOTDATA("AvgUnits",RowCol!A1,"Product","B")</f>
        <v>#REF!</v>
      </c>
    </row>
    <row r="70" spans="1:2" x14ac:dyDescent="0.35">
      <c r="A70" t="s">
        <v>20</v>
      </c>
      <c r="B70" t="e">
        <f>GETPIVOTDATA("AvgUnits",RowCol!A1,"Region","North","Product","A")</f>
        <v>#REF!</v>
      </c>
    </row>
    <row r="71" spans="1:2" x14ac:dyDescent="0.35">
      <c r="A71" t="s">
        <v>20</v>
      </c>
      <c r="B71" t="e">
        <f>GETPIVOTDATA("AvgUnits",RowCol!A1,"Region","South","Product","B")</f>
        <v>#REF!</v>
      </c>
    </row>
    <row r="72" spans="1:2" x14ac:dyDescent="0.35">
      <c r="A72" t="s">
        <v>20</v>
      </c>
      <c r="B72" t="e">
        <f>GETPIVOTDATA("AvgUnits",RowCol!A1,"Region","missing")</f>
        <v>#REF!</v>
      </c>
    </row>
    <row r="73" spans="1:2" x14ac:dyDescent="0.35">
      <c r="A73" t="s">
        <v>20</v>
      </c>
      <c r="B73">
        <f>GETPIVOTDATA("Entries",RowCol!A1)</f>
        <v>7</v>
      </c>
    </row>
    <row r="74" spans="1:2" x14ac:dyDescent="0.35">
      <c r="A74" t="s">
        <v>20</v>
      </c>
      <c r="B74">
        <f>GETPIVOTDATA("Entries",RowCol!A1,"Region","North")</f>
        <v>4</v>
      </c>
    </row>
    <row r="75" spans="1:2" x14ac:dyDescent="0.35">
      <c r="A75" t="s">
        <v>20</v>
      </c>
      <c r="B75">
        <f>GETPIVOTDATA("Entries",RowCol!A1,"Region","South")</f>
        <v>3</v>
      </c>
    </row>
    <row r="76" spans="1:2" x14ac:dyDescent="0.35">
      <c r="A76" t="s">
        <v>20</v>
      </c>
      <c r="B76">
        <f>GETPIVOTDATA("Entries",RowCol!A1,"Region","West")</f>
        <v>0</v>
      </c>
    </row>
    <row r="77" spans="1:2" x14ac:dyDescent="0.35">
      <c r="A77" t="s">
        <v>20</v>
      </c>
      <c r="B77" t="e">
        <f>GETPIVOTDATA("Entries",RowCol!A1,"Product","A")</f>
        <v>#REF!</v>
      </c>
    </row>
    <row r="78" spans="1:2" x14ac:dyDescent="0.35">
      <c r="A78" t="s">
        <v>20</v>
      </c>
      <c r="B78" t="e">
        <f>GETPIVOTDATA("Entries",RowCol!A1,"Product","B")</f>
        <v>#REF!</v>
      </c>
    </row>
    <row r="79" spans="1:2" x14ac:dyDescent="0.35">
      <c r="A79" t="s">
        <v>20</v>
      </c>
      <c r="B79" t="e">
        <f>GETPIVOTDATA("Entries",RowCol!A1,"Region","North","Product","A")</f>
        <v>#REF!</v>
      </c>
    </row>
    <row r="80" spans="1:2" x14ac:dyDescent="0.35">
      <c r="A80" t="s">
        <v>20</v>
      </c>
      <c r="B80" t="e">
        <f>GETPIVOTDATA("Entries",RowCol!A1,"Region","South","Product","B")</f>
        <v>#REF!</v>
      </c>
    </row>
    <row r="81" spans="1:2" x14ac:dyDescent="0.35">
      <c r="A81" t="s">
        <v>20</v>
      </c>
      <c r="B81" t="e">
        <f>GETPIVOTDATA("Entries",RowCol!A1,"Region","missing")</f>
        <v>#REF!</v>
      </c>
    </row>
    <row r="82" spans="1:2" x14ac:dyDescent="0.35">
      <c r="A82" t="s">
        <v>21</v>
      </c>
      <c r="B82">
        <f>GETPIVOTDATA("Revenue",RowRow!A1)</f>
        <v>48</v>
      </c>
    </row>
    <row r="83" spans="1:2" x14ac:dyDescent="0.35">
      <c r="A83" t="s">
        <v>21</v>
      </c>
      <c r="B83">
        <f>GETPIVOTDATA("Revenue",RowRow!A1,"Region","North")</f>
        <v>28</v>
      </c>
    </row>
    <row r="84" spans="1:2" x14ac:dyDescent="0.35">
      <c r="A84" t="s">
        <v>21</v>
      </c>
      <c r="B84">
        <f>GETPIVOTDATA("Revenue",RowRow!A1,"Region","South")</f>
        <v>20</v>
      </c>
    </row>
    <row r="85" spans="1:2" x14ac:dyDescent="0.35">
      <c r="A85" t="s">
        <v>21</v>
      </c>
      <c r="B85">
        <f>GETPIVOTDATA("Revenue",RowRow!A1,"Region","West")</f>
        <v>0</v>
      </c>
    </row>
    <row r="86" spans="1:2" x14ac:dyDescent="0.35">
      <c r="A86" t="s">
        <v>21</v>
      </c>
      <c r="B86" t="e">
        <f>GETPIVOTDATA("Revenue",RowRow!A1,"Product","A")</f>
        <v>#REF!</v>
      </c>
    </row>
    <row r="87" spans="1:2" x14ac:dyDescent="0.35">
      <c r="A87" t="s">
        <v>21</v>
      </c>
      <c r="B87" t="e">
        <f>GETPIVOTDATA("Revenue",RowRow!A1,"Product","B")</f>
        <v>#REF!</v>
      </c>
    </row>
    <row r="88" spans="1:2" x14ac:dyDescent="0.35">
      <c r="A88" t="s">
        <v>21</v>
      </c>
      <c r="B88" t="e">
        <f>GETPIVOTDATA("Revenue",RowRow!A1,"Region","North","Product","A")</f>
        <v>#REF!</v>
      </c>
    </row>
    <row r="89" spans="1:2" x14ac:dyDescent="0.35">
      <c r="A89" t="s">
        <v>21</v>
      </c>
      <c r="B89" t="e">
        <f>GETPIVOTDATA("Revenue",RowRow!A1,"Region","South","Product","B")</f>
        <v>#REF!</v>
      </c>
    </row>
    <row r="90" spans="1:2" x14ac:dyDescent="0.35">
      <c r="A90" t="s">
        <v>21</v>
      </c>
      <c r="B90" t="e">
        <f>GETPIVOTDATA("Revenue",RowRow!A1,"Region","missing")</f>
        <v>#REF!</v>
      </c>
    </row>
    <row r="91" spans="1:2" x14ac:dyDescent="0.35">
      <c r="A91" t="s">
        <v>21</v>
      </c>
      <c r="B91">
        <f>GETPIVOTDATA("AvgUnits",RowRow!A1)</f>
        <v>2.375</v>
      </c>
    </row>
    <row r="92" spans="1:2" x14ac:dyDescent="0.35">
      <c r="A92" t="s">
        <v>21</v>
      </c>
      <c r="B92">
        <f>GETPIVOTDATA("AvgUnits",RowRow!A1,"Region","North")</f>
        <v>1.75</v>
      </c>
    </row>
    <row r="93" spans="1:2" x14ac:dyDescent="0.35">
      <c r="A93" t="s">
        <v>21</v>
      </c>
      <c r="B93">
        <f>GETPIVOTDATA("AvgUnits",RowRow!A1,"Region","South")</f>
        <v>2.3333333333333335</v>
      </c>
    </row>
    <row r="94" spans="1:2" x14ac:dyDescent="0.35">
      <c r="A94" t="s">
        <v>21</v>
      </c>
      <c r="B94">
        <f>GETPIVOTDATA("AvgUnits",RowRow!A1,"Region","West")</f>
        <v>5</v>
      </c>
    </row>
    <row r="95" spans="1:2" x14ac:dyDescent="0.35">
      <c r="A95" t="s">
        <v>21</v>
      </c>
      <c r="B95" t="e">
        <f>GETPIVOTDATA("AvgUnits",RowRow!A1,"Product","A")</f>
        <v>#REF!</v>
      </c>
    </row>
    <row r="96" spans="1:2" x14ac:dyDescent="0.35">
      <c r="A96" t="s">
        <v>21</v>
      </c>
      <c r="B96" t="e">
        <f>GETPIVOTDATA("AvgUnits",RowRow!A1,"Product","B")</f>
        <v>#REF!</v>
      </c>
    </row>
    <row r="97" spans="1:2" x14ac:dyDescent="0.35">
      <c r="A97" t="s">
        <v>21</v>
      </c>
      <c r="B97" t="e">
        <f>GETPIVOTDATA("AvgUnits",RowRow!A1,"Region","North","Product","A")</f>
        <v>#REF!</v>
      </c>
    </row>
    <row r="98" spans="1:2" x14ac:dyDescent="0.35">
      <c r="A98" t="s">
        <v>21</v>
      </c>
      <c r="B98" t="e">
        <f>GETPIVOTDATA("AvgUnits",RowRow!A1,"Region","South","Product","B")</f>
        <v>#REF!</v>
      </c>
    </row>
    <row r="99" spans="1:2" x14ac:dyDescent="0.35">
      <c r="A99" t="s">
        <v>21</v>
      </c>
      <c r="B99" t="e">
        <f>GETPIVOTDATA("AvgUnits",RowRow!A1,"Region","missing")</f>
        <v>#REF!</v>
      </c>
    </row>
    <row r="100" spans="1:2" x14ac:dyDescent="0.35">
      <c r="A100" t="s">
        <v>21</v>
      </c>
      <c r="B100">
        <f>GETPIVOTDATA("Entries",RowRow!A1)</f>
        <v>7</v>
      </c>
    </row>
    <row r="101" spans="1:2" x14ac:dyDescent="0.35">
      <c r="A101" t="s">
        <v>21</v>
      </c>
      <c r="B101">
        <f>GETPIVOTDATA("Entries",RowRow!A1,"Region","North")</f>
        <v>4</v>
      </c>
    </row>
    <row r="102" spans="1:2" x14ac:dyDescent="0.35">
      <c r="A102" t="s">
        <v>21</v>
      </c>
      <c r="B102">
        <f>GETPIVOTDATA("Entries",RowRow!A1,"Region","South")</f>
        <v>3</v>
      </c>
    </row>
    <row r="103" spans="1:2" x14ac:dyDescent="0.35">
      <c r="A103" t="s">
        <v>21</v>
      </c>
      <c r="B103">
        <f>GETPIVOTDATA("Entries",RowRow!A1,"Region","West")</f>
        <v>0</v>
      </c>
    </row>
    <row r="104" spans="1:2" x14ac:dyDescent="0.35">
      <c r="A104" t="s">
        <v>21</v>
      </c>
      <c r="B104" t="e">
        <f>GETPIVOTDATA("Entries",RowRow!A1,"Product","A")</f>
        <v>#REF!</v>
      </c>
    </row>
    <row r="105" spans="1:2" x14ac:dyDescent="0.35">
      <c r="A105" t="s">
        <v>21</v>
      </c>
      <c r="B105" t="e">
        <f>GETPIVOTDATA("Entries",RowRow!A1,"Product","B")</f>
        <v>#REF!</v>
      </c>
    </row>
    <row r="106" spans="1:2" x14ac:dyDescent="0.35">
      <c r="A106" t="s">
        <v>21</v>
      </c>
      <c r="B106" t="e">
        <f>GETPIVOTDATA("Entries",RowRow!A1,"Region","North","Product","A")</f>
        <v>#REF!</v>
      </c>
    </row>
    <row r="107" spans="1:2" x14ac:dyDescent="0.35">
      <c r="A107" t="s">
        <v>21</v>
      </c>
      <c r="B107" t="e">
        <f>GETPIVOTDATA("Entries",RowRow!A1,"Region","South","Product","B")</f>
        <v>#REF!</v>
      </c>
    </row>
    <row r="108" spans="1:2" x14ac:dyDescent="0.35">
      <c r="A108" t="s">
        <v>21</v>
      </c>
      <c r="B108" t="e">
        <f>GETPIVOTDATA("Entries",RowRow!A1,"Region","missing")</f>
        <v>#REF!</v>
      </c>
    </row>
    <row r="109" spans="1:2" x14ac:dyDescent="0.35">
      <c r="A109" t="s">
        <v>22</v>
      </c>
      <c r="B109">
        <f>GETPIVOTDATA("Revenue",ColCol!A1)</f>
        <v>48</v>
      </c>
    </row>
    <row r="110" spans="1:2" x14ac:dyDescent="0.35">
      <c r="A110" t="s">
        <v>22</v>
      </c>
      <c r="B110" t="e">
        <f>GETPIVOTDATA("Revenue",ColCol!A1,"Region","North")</f>
        <v>#REF!</v>
      </c>
    </row>
    <row r="111" spans="1:2" x14ac:dyDescent="0.35">
      <c r="A111" t="s">
        <v>22</v>
      </c>
      <c r="B111" t="e">
        <f>GETPIVOTDATA("Revenue",ColCol!A1,"Region","South")</f>
        <v>#REF!</v>
      </c>
    </row>
    <row r="112" spans="1:2" x14ac:dyDescent="0.35">
      <c r="A112" t="s">
        <v>22</v>
      </c>
      <c r="B112" t="e">
        <f>GETPIVOTDATA("Revenue",ColCol!A1,"Region","West")</f>
        <v>#REF!</v>
      </c>
    </row>
    <row r="113" spans="1:2" x14ac:dyDescent="0.35">
      <c r="A113" t="s">
        <v>22</v>
      </c>
      <c r="B113">
        <f>GETPIVOTDATA("Revenue",ColCol!A1,"Product","A")</f>
        <v>13</v>
      </c>
    </row>
    <row r="114" spans="1:2" x14ac:dyDescent="0.35">
      <c r="A114" t="s">
        <v>22</v>
      </c>
      <c r="B114">
        <f>GETPIVOTDATA("Revenue",ColCol!A1,"Product","B")</f>
        <v>35</v>
      </c>
    </row>
    <row r="115" spans="1:2" x14ac:dyDescent="0.35">
      <c r="A115" t="s">
        <v>22</v>
      </c>
      <c r="B115" t="e">
        <f>GETPIVOTDATA("Revenue",ColCol!A1,"Region","North","Product","A")</f>
        <v>#REF!</v>
      </c>
    </row>
    <row r="116" spans="1:2" x14ac:dyDescent="0.35">
      <c r="A116" t="s">
        <v>22</v>
      </c>
      <c r="B116" t="e">
        <f>GETPIVOTDATA("Revenue",ColCol!A1,"Region","South","Product","B")</f>
        <v>#REF!</v>
      </c>
    </row>
    <row r="117" spans="1:2" x14ac:dyDescent="0.35">
      <c r="A117" t="s">
        <v>22</v>
      </c>
      <c r="B117" t="e">
        <f>GETPIVOTDATA("Revenue",ColCol!A1,"Region","missing")</f>
        <v>#REF!</v>
      </c>
    </row>
    <row r="118" spans="1:2" x14ac:dyDescent="0.35">
      <c r="A118" t="s">
        <v>22</v>
      </c>
      <c r="B118">
        <f>GETPIVOTDATA("AvgUnits",ColCol!A1)</f>
        <v>2.375</v>
      </c>
    </row>
    <row r="119" spans="1:2" x14ac:dyDescent="0.35">
      <c r="A119" t="s">
        <v>22</v>
      </c>
      <c r="B119" t="e">
        <f>GETPIVOTDATA("AvgUnits",ColCol!A1,"Region","North")</f>
        <v>#REF!</v>
      </c>
    </row>
    <row r="120" spans="1:2" x14ac:dyDescent="0.35">
      <c r="A120" t="s">
        <v>22</v>
      </c>
      <c r="B120" t="e">
        <f>GETPIVOTDATA("AvgUnits",ColCol!A1,"Region","South")</f>
        <v>#REF!</v>
      </c>
    </row>
    <row r="121" spans="1:2" x14ac:dyDescent="0.35">
      <c r="A121" t="s">
        <v>22</v>
      </c>
      <c r="B121" t="e">
        <f>GETPIVOTDATA("AvgUnits",ColCol!A1,"Region","West")</f>
        <v>#REF!</v>
      </c>
    </row>
    <row r="122" spans="1:2" x14ac:dyDescent="0.35">
      <c r="A122" t="s">
        <v>22</v>
      </c>
      <c r="B122">
        <f>GETPIVOTDATA("AvgUnits",ColCol!A1,"Product","A")</f>
        <v>1.5</v>
      </c>
    </row>
    <row r="123" spans="1:2" x14ac:dyDescent="0.35">
      <c r="A123" t="s">
        <v>22</v>
      </c>
      <c r="B123">
        <f>GETPIVOTDATA("AvgUnits",ColCol!A1,"Product","B")</f>
        <v>3.25</v>
      </c>
    </row>
    <row r="124" spans="1:2" x14ac:dyDescent="0.35">
      <c r="A124" t="s">
        <v>22</v>
      </c>
      <c r="B124" t="e">
        <f>GETPIVOTDATA("AvgUnits",ColCol!A1,"Region","North","Product","A")</f>
        <v>#REF!</v>
      </c>
    </row>
    <row r="125" spans="1:2" x14ac:dyDescent="0.35">
      <c r="A125" t="s">
        <v>22</v>
      </c>
      <c r="B125" t="e">
        <f>GETPIVOTDATA("AvgUnits",ColCol!A1,"Region","South","Product","B")</f>
        <v>#REF!</v>
      </c>
    </row>
    <row r="126" spans="1:2" x14ac:dyDescent="0.35">
      <c r="A126" t="s">
        <v>22</v>
      </c>
      <c r="B126" t="e">
        <f>GETPIVOTDATA("AvgUnits",ColCol!A1,"Region","missing")</f>
        <v>#REF!</v>
      </c>
    </row>
    <row r="127" spans="1:2" x14ac:dyDescent="0.35">
      <c r="A127" t="s">
        <v>22</v>
      </c>
      <c r="B127">
        <f>GETPIVOTDATA("Entries",ColCol!A1)</f>
        <v>7</v>
      </c>
    </row>
    <row r="128" spans="1:2" x14ac:dyDescent="0.35">
      <c r="A128" t="s">
        <v>22</v>
      </c>
      <c r="B128" t="e">
        <f>GETPIVOTDATA("Entries",ColCol!A1,"Region","North")</f>
        <v>#REF!</v>
      </c>
    </row>
    <row r="129" spans="1:2" x14ac:dyDescent="0.35">
      <c r="A129" t="s">
        <v>22</v>
      </c>
      <c r="B129" t="e">
        <f>GETPIVOTDATA("Entries",ColCol!A1,"Region","South")</f>
        <v>#REF!</v>
      </c>
    </row>
    <row r="130" spans="1:2" x14ac:dyDescent="0.35">
      <c r="A130" t="s">
        <v>22</v>
      </c>
      <c r="B130" t="e">
        <f>GETPIVOTDATA("Entries",ColCol!A1,"Region","West")</f>
        <v>#REF!</v>
      </c>
    </row>
    <row r="131" spans="1:2" x14ac:dyDescent="0.35">
      <c r="A131" t="s">
        <v>22</v>
      </c>
      <c r="B131">
        <f>GETPIVOTDATA("Entries",ColCol!A1,"Product","A")</f>
        <v>4</v>
      </c>
    </row>
    <row r="132" spans="1:2" x14ac:dyDescent="0.35">
      <c r="A132" t="s">
        <v>22</v>
      </c>
      <c r="B132">
        <f>GETPIVOTDATA("Entries",ColCol!A1,"Product","B")</f>
        <v>3</v>
      </c>
    </row>
    <row r="133" spans="1:2" x14ac:dyDescent="0.35">
      <c r="A133" t="s">
        <v>22</v>
      </c>
      <c r="B133" t="e">
        <f>GETPIVOTDATA("Entries",ColCol!A1,"Region","North","Product","A")</f>
        <v>#REF!</v>
      </c>
    </row>
    <row r="134" spans="1:2" x14ac:dyDescent="0.35">
      <c r="A134" t="s">
        <v>22</v>
      </c>
      <c r="B134" t="e">
        <f>GETPIVOTDATA("Entries",ColCol!A1,"Region","South","Product","B")</f>
        <v>#REF!</v>
      </c>
    </row>
    <row r="135" spans="1:2" x14ac:dyDescent="0.35">
      <c r="A135" t="s">
        <v>22</v>
      </c>
      <c r="B135" t="e">
        <f>GETPIVOTDATA("Entries",ColCol!A1,"Region","missing")</f>
        <v>#REF!</v>
      </c>
    </row>
    <row r="136" spans="1:2" x14ac:dyDescent="0.35">
      <c r="A136" t="s">
        <v>23</v>
      </c>
      <c r="B136">
        <f>GETPIVOTDATA("Revenue",ColRow!A1)</f>
        <v>48</v>
      </c>
    </row>
    <row r="137" spans="1:2" x14ac:dyDescent="0.35">
      <c r="A137" t="s">
        <v>23</v>
      </c>
      <c r="B137" t="e">
        <f>GETPIVOTDATA("Revenue",ColRow!A1,"Region","North")</f>
        <v>#REF!</v>
      </c>
    </row>
    <row r="138" spans="1:2" x14ac:dyDescent="0.35">
      <c r="A138" t="s">
        <v>23</v>
      </c>
      <c r="B138" t="e">
        <f>GETPIVOTDATA("Revenue",ColRow!A1,"Region","South")</f>
        <v>#REF!</v>
      </c>
    </row>
    <row r="139" spans="1:2" x14ac:dyDescent="0.35">
      <c r="A139" t="s">
        <v>23</v>
      </c>
      <c r="B139" t="e">
        <f>GETPIVOTDATA("Revenue",ColRow!A1,"Region","West")</f>
        <v>#REF!</v>
      </c>
    </row>
    <row r="140" spans="1:2" x14ac:dyDescent="0.35">
      <c r="A140" t="s">
        <v>23</v>
      </c>
      <c r="B140">
        <f>GETPIVOTDATA("Revenue",ColRow!A1,"Product","A")</f>
        <v>13</v>
      </c>
    </row>
    <row r="141" spans="1:2" x14ac:dyDescent="0.35">
      <c r="A141" t="s">
        <v>23</v>
      </c>
      <c r="B141">
        <f>GETPIVOTDATA("Revenue",ColRow!A1,"Product","B")</f>
        <v>35</v>
      </c>
    </row>
    <row r="142" spans="1:2" x14ac:dyDescent="0.35">
      <c r="A142" t="s">
        <v>23</v>
      </c>
      <c r="B142" t="e">
        <f>GETPIVOTDATA("Revenue",ColRow!A1,"Region","North","Product","A")</f>
        <v>#REF!</v>
      </c>
    </row>
    <row r="143" spans="1:2" x14ac:dyDescent="0.35">
      <c r="A143" t="s">
        <v>23</v>
      </c>
      <c r="B143" t="e">
        <f>GETPIVOTDATA("Revenue",ColRow!A1,"Region","South","Product","B")</f>
        <v>#REF!</v>
      </c>
    </row>
    <row r="144" spans="1:2" x14ac:dyDescent="0.35">
      <c r="A144" t="s">
        <v>23</v>
      </c>
      <c r="B144" t="e">
        <f>GETPIVOTDATA("Revenue",ColRow!A1,"Region","missing")</f>
        <v>#REF!</v>
      </c>
    </row>
    <row r="145" spans="1:2" x14ac:dyDescent="0.35">
      <c r="A145" t="s">
        <v>23</v>
      </c>
      <c r="B145">
        <f>GETPIVOTDATA("AvgUnits",ColRow!A1)</f>
        <v>2.375</v>
      </c>
    </row>
    <row r="146" spans="1:2" x14ac:dyDescent="0.35">
      <c r="A146" t="s">
        <v>23</v>
      </c>
      <c r="B146" t="e">
        <f>GETPIVOTDATA("AvgUnits",ColRow!A1,"Region","North")</f>
        <v>#REF!</v>
      </c>
    </row>
    <row r="147" spans="1:2" x14ac:dyDescent="0.35">
      <c r="A147" t="s">
        <v>23</v>
      </c>
      <c r="B147" t="e">
        <f>GETPIVOTDATA("AvgUnits",ColRow!A1,"Region","South")</f>
        <v>#REF!</v>
      </c>
    </row>
    <row r="148" spans="1:2" x14ac:dyDescent="0.35">
      <c r="A148" t="s">
        <v>23</v>
      </c>
      <c r="B148" t="e">
        <f>GETPIVOTDATA("AvgUnits",ColRow!A1,"Region","West")</f>
        <v>#REF!</v>
      </c>
    </row>
    <row r="149" spans="1:2" x14ac:dyDescent="0.35">
      <c r="A149" t="s">
        <v>23</v>
      </c>
      <c r="B149">
        <f>GETPIVOTDATA("AvgUnits",ColRow!A1,"Product","A")</f>
        <v>1.5</v>
      </c>
    </row>
    <row r="150" spans="1:2" x14ac:dyDescent="0.35">
      <c r="A150" t="s">
        <v>23</v>
      </c>
      <c r="B150">
        <f>GETPIVOTDATA("AvgUnits",ColRow!A1,"Product","B")</f>
        <v>3.25</v>
      </c>
    </row>
    <row r="151" spans="1:2" x14ac:dyDescent="0.35">
      <c r="A151" t="s">
        <v>23</v>
      </c>
      <c r="B151" t="e">
        <f>GETPIVOTDATA("AvgUnits",ColRow!A1,"Region","North","Product","A")</f>
        <v>#REF!</v>
      </c>
    </row>
    <row r="152" spans="1:2" x14ac:dyDescent="0.35">
      <c r="A152" t="s">
        <v>23</v>
      </c>
      <c r="B152" t="e">
        <f>GETPIVOTDATA("AvgUnits",ColRow!A1,"Region","South","Product","B")</f>
        <v>#REF!</v>
      </c>
    </row>
    <row r="153" spans="1:2" x14ac:dyDescent="0.35">
      <c r="A153" t="s">
        <v>23</v>
      </c>
      <c r="B153" t="e">
        <f>GETPIVOTDATA("AvgUnits",ColRow!A1,"Region","missing")</f>
        <v>#REF!</v>
      </c>
    </row>
    <row r="154" spans="1:2" x14ac:dyDescent="0.35">
      <c r="A154" t="s">
        <v>23</v>
      </c>
      <c r="B154">
        <f>GETPIVOTDATA("Entries",ColRow!A1)</f>
        <v>7</v>
      </c>
    </row>
    <row r="155" spans="1:2" x14ac:dyDescent="0.35">
      <c r="A155" t="s">
        <v>23</v>
      </c>
      <c r="B155" t="e">
        <f>GETPIVOTDATA("Entries",ColRow!A1,"Region","North")</f>
        <v>#REF!</v>
      </c>
    </row>
    <row r="156" spans="1:2" x14ac:dyDescent="0.35">
      <c r="A156" t="s">
        <v>23</v>
      </c>
      <c r="B156" t="e">
        <f>GETPIVOTDATA("Entries",ColRow!A1,"Region","South")</f>
        <v>#REF!</v>
      </c>
    </row>
    <row r="157" spans="1:2" x14ac:dyDescent="0.35">
      <c r="A157" t="s">
        <v>23</v>
      </c>
      <c r="B157" t="e">
        <f>GETPIVOTDATA("Entries",ColRow!A1,"Region","West")</f>
        <v>#REF!</v>
      </c>
    </row>
    <row r="158" spans="1:2" x14ac:dyDescent="0.35">
      <c r="A158" t="s">
        <v>23</v>
      </c>
      <c r="B158">
        <f>GETPIVOTDATA("Entries",ColRow!A1,"Product","A")</f>
        <v>4</v>
      </c>
    </row>
    <row r="159" spans="1:2" x14ac:dyDescent="0.35">
      <c r="A159" t="s">
        <v>23</v>
      </c>
      <c r="B159">
        <f>GETPIVOTDATA("Entries",ColRow!A1,"Product","B")</f>
        <v>3</v>
      </c>
    </row>
    <row r="160" spans="1:2" x14ac:dyDescent="0.35">
      <c r="A160" t="s">
        <v>23</v>
      </c>
      <c r="B160" t="e">
        <f>GETPIVOTDATA("Entries",ColRow!A1,"Region","North","Product","A")</f>
        <v>#REF!</v>
      </c>
    </row>
    <row r="161" spans="1:2" x14ac:dyDescent="0.35">
      <c r="A161" t="s">
        <v>23</v>
      </c>
      <c r="B161" t="e">
        <f>GETPIVOTDATA("Entries",ColRow!A1,"Region","South","Product","B")</f>
        <v>#REF!</v>
      </c>
    </row>
    <row r="162" spans="1:2" x14ac:dyDescent="0.35">
      <c r="A162" t="s">
        <v>23</v>
      </c>
      <c r="B162" t="e">
        <f>GETPIVOTDATA("Entries",ColRow!A1,"Region","missing")</f>
        <v>#REF!</v>
      </c>
    </row>
    <row r="163" spans="1:2" x14ac:dyDescent="0.35">
      <c r="A163" t="s">
        <v>24</v>
      </c>
      <c r="B163">
        <f>GETPIVOTDATA("Revenue",ScalarCol!A1)</f>
        <v>48</v>
      </c>
    </row>
    <row r="164" spans="1:2" x14ac:dyDescent="0.35">
      <c r="A164" t="s">
        <v>24</v>
      </c>
      <c r="B164" t="e">
        <f>GETPIVOTDATA("Revenue",ScalarCol!A1,"Region","North")</f>
        <v>#REF!</v>
      </c>
    </row>
    <row r="165" spans="1:2" x14ac:dyDescent="0.35">
      <c r="A165" t="s">
        <v>24</v>
      </c>
      <c r="B165" t="e">
        <f>GETPIVOTDATA("Revenue",ScalarCol!A1,"Region","South")</f>
        <v>#REF!</v>
      </c>
    </row>
    <row r="166" spans="1:2" x14ac:dyDescent="0.35">
      <c r="A166" t="s">
        <v>24</v>
      </c>
      <c r="B166" t="e">
        <f>GETPIVOTDATA("Revenue",ScalarCol!A1,"Region","West")</f>
        <v>#REF!</v>
      </c>
    </row>
    <row r="167" spans="1:2" x14ac:dyDescent="0.35">
      <c r="A167" t="s">
        <v>24</v>
      </c>
      <c r="B167" t="e">
        <f>GETPIVOTDATA("Revenue",ScalarCol!A1,"Product","A")</f>
        <v>#REF!</v>
      </c>
    </row>
    <row r="168" spans="1:2" x14ac:dyDescent="0.35">
      <c r="A168" t="s">
        <v>24</v>
      </c>
      <c r="B168" t="e">
        <f>GETPIVOTDATA("Revenue",ScalarCol!A1,"Product","B")</f>
        <v>#REF!</v>
      </c>
    </row>
    <row r="169" spans="1:2" x14ac:dyDescent="0.35">
      <c r="A169" t="s">
        <v>24</v>
      </c>
      <c r="B169" t="e">
        <f>GETPIVOTDATA("Revenue",ScalarCol!A1,"Region","North","Product","A")</f>
        <v>#REF!</v>
      </c>
    </row>
    <row r="170" spans="1:2" x14ac:dyDescent="0.35">
      <c r="A170" t="s">
        <v>24</v>
      </c>
      <c r="B170" t="e">
        <f>GETPIVOTDATA("Revenue",ScalarCol!A1,"Region","South","Product","B")</f>
        <v>#REF!</v>
      </c>
    </row>
    <row r="171" spans="1:2" x14ac:dyDescent="0.35">
      <c r="A171" t="s">
        <v>24</v>
      </c>
      <c r="B171" t="e">
        <f>GETPIVOTDATA("Revenue",ScalarCol!A1,"Region","missing")</f>
        <v>#REF!</v>
      </c>
    </row>
    <row r="172" spans="1:2" x14ac:dyDescent="0.35">
      <c r="A172" t="s">
        <v>24</v>
      </c>
      <c r="B172">
        <f>GETPIVOTDATA("AvgUnits",ScalarCol!A1)</f>
        <v>2.375</v>
      </c>
    </row>
    <row r="173" spans="1:2" x14ac:dyDescent="0.35">
      <c r="A173" t="s">
        <v>24</v>
      </c>
      <c r="B173" t="e">
        <f>GETPIVOTDATA("AvgUnits",ScalarCol!A1,"Region","North")</f>
        <v>#REF!</v>
      </c>
    </row>
    <row r="174" spans="1:2" x14ac:dyDescent="0.35">
      <c r="A174" t="s">
        <v>24</v>
      </c>
      <c r="B174" t="e">
        <f>GETPIVOTDATA("AvgUnits",ScalarCol!A1,"Region","South")</f>
        <v>#REF!</v>
      </c>
    </row>
    <row r="175" spans="1:2" x14ac:dyDescent="0.35">
      <c r="A175" t="s">
        <v>24</v>
      </c>
      <c r="B175" t="e">
        <f>GETPIVOTDATA("AvgUnits",ScalarCol!A1,"Region","West")</f>
        <v>#REF!</v>
      </c>
    </row>
    <row r="176" spans="1:2" x14ac:dyDescent="0.35">
      <c r="A176" t="s">
        <v>24</v>
      </c>
      <c r="B176" t="e">
        <f>GETPIVOTDATA("AvgUnits",ScalarCol!A1,"Product","A")</f>
        <v>#REF!</v>
      </c>
    </row>
    <row r="177" spans="1:2" x14ac:dyDescent="0.35">
      <c r="A177" t="s">
        <v>24</v>
      </c>
      <c r="B177" t="e">
        <f>GETPIVOTDATA("AvgUnits",ScalarCol!A1,"Product","B")</f>
        <v>#REF!</v>
      </c>
    </row>
    <row r="178" spans="1:2" x14ac:dyDescent="0.35">
      <c r="A178" t="s">
        <v>24</v>
      </c>
      <c r="B178" t="e">
        <f>GETPIVOTDATA("AvgUnits",ScalarCol!A1,"Region","North","Product","A")</f>
        <v>#REF!</v>
      </c>
    </row>
    <row r="179" spans="1:2" x14ac:dyDescent="0.35">
      <c r="A179" t="s">
        <v>24</v>
      </c>
      <c r="B179" t="e">
        <f>GETPIVOTDATA("AvgUnits",ScalarCol!A1,"Region","South","Product","B")</f>
        <v>#REF!</v>
      </c>
    </row>
    <row r="180" spans="1:2" x14ac:dyDescent="0.35">
      <c r="A180" t="s">
        <v>24</v>
      </c>
      <c r="B180" t="e">
        <f>GETPIVOTDATA("AvgUnits",ScalarCol!A1,"Region","missing")</f>
        <v>#REF!</v>
      </c>
    </row>
    <row r="181" spans="1:2" x14ac:dyDescent="0.35">
      <c r="A181" t="s">
        <v>24</v>
      </c>
      <c r="B181">
        <f>GETPIVOTDATA("Entries",ScalarCol!A1)</f>
        <v>7</v>
      </c>
    </row>
    <row r="182" spans="1:2" x14ac:dyDescent="0.35">
      <c r="A182" t="s">
        <v>24</v>
      </c>
      <c r="B182" t="e">
        <f>GETPIVOTDATA("Entries",ScalarCol!A1,"Region","North")</f>
        <v>#REF!</v>
      </c>
    </row>
    <row r="183" spans="1:2" x14ac:dyDescent="0.35">
      <c r="A183" t="s">
        <v>24</v>
      </c>
      <c r="B183" t="e">
        <f>GETPIVOTDATA("Entries",ScalarCol!A1,"Region","South")</f>
        <v>#REF!</v>
      </c>
    </row>
    <row r="184" spans="1:2" x14ac:dyDescent="0.35">
      <c r="A184" t="s">
        <v>24</v>
      </c>
      <c r="B184" t="e">
        <f>GETPIVOTDATA("Entries",ScalarCol!A1,"Region","West")</f>
        <v>#REF!</v>
      </c>
    </row>
    <row r="185" spans="1:2" x14ac:dyDescent="0.35">
      <c r="A185" t="s">
        <v>24</v>
      </c>
      <c r="B185" t="e">
        <f>GETPIVOTDATA("Entries",ScalarCol!A1,"Product","A")</f>
        <v>#REF!</v>
      </c>
    </row>
    <row r="186" spans="1:2" x14ac:dyDescent="0.35">
      <c r="A186" t="s">
        <v>24</v>
      </c>
      <c r="B186" t="e">
        <f>GETPIVOTDATA("Entries",ScalarCol!A1,"Product","B")</f>
        <v>#REF!</v>
      </c>
    </row>
    <row r="187" spans="1:2" x14ac:dyDescent="0.35">
      <c r="A187" t="s">
        <v>24</v>
      </c>
      <c r="B187" t="e">
        <f>GETPIVOTDATA("Entries",ScalarCol!A1,"Region","North","Product","A")</f>
        <v>#REF!</v>
      </c>
    </row>
    <row r="188" spans="1:2" x14ac:dyDescent="0.35">
      <c r="A188" t="s">
        <v>24</v>
      </c>
      <c r="B188" t="e">
        <f>GETPIVOTDATA("Entries",ScalarCol!A1,"Region","South","Product","B")</f>
        <v>#REF!</v>
      </c>
    </row>
    <row r="189" spans="1:2" x14ac:dyDescent="0.35">
      <c r="A189" t="s">
        <v>24</v>
      </c>
      <c r="B189" t="e">
        <f>GETPIVOTDATA("Entries",ScalarCol!A1,"Region","missing")</f>
        <v>#REF!</v>
      </c>
    </row>
    <row r="190" spans="1:2" x14ac:dyDescent="0.35">
      <c r="A190" t="s">
        <v>25</v>
      </c>
      <c r="B190">
        <f>GETPIVOTDATA("Revenue",ScalarRow!A1)</f>
        <v>48</v>
      </c>
    </row>
    <row r="191" spans="1:2" x14ac:dyDescent="0.35">
      <c r="A191" t="s">
        <v>25</v>
      </c>
      <c r="B191" t="e">
        <f>GETPIVOTDATA("Revenue",ScalarRow!A1,"Region","North")</f>
        <v>#REF!</v>
      </c>
    </row>
    <row r="192" spans="1:2" x14ac:dyDescent="0.35">
      <c r="A192" t="s">
        <v>25</v>
      </c>
      <c r="B192" t="e">
        <f>GETPIVOTDATA("Revenue",ScalarRow!A1,"Region","South")</f>
        <v>#REF!</v>
      </c>
    </row>
    <row r="193" spans="1:2" x14ac:dyDescent="0.35">
      <c r="A193" t="s">
        <v>25</v>
      </c>
      <c r="B193" t="e">
        <f>GETPIVOTDATA("Revenue",ScalarRow!A1,"Region","West")</f>
        <v>#REF!</v>
      </c>
    </row>
    <row r="194" spans="1:2" x14ac:dyDescent="0.35">
      <c r="A194" t="s">
        <v>25</v>
      </c>
      <c r="B194" t="e">
        <f>GETPIVOTDATA("Revenue",ScalarRow!A1,"Product","A")</f>
        <v>#REF!</v>
      </c>
    </row>
    <row r="195" spans="1:2" x14ac:dyDescent="0.35">
      <c r="A195" t="s">
        <v>25</v>
      </c>
      <c r="B195" t="e">
        <f>GETPIVOTDATA("Revenue",ScalarRow!A1,"Product","B")</f>
        <v>#REF!</v>
      </c>
    </row>
    <row r="196" spans="1:2" x14ac:dyDescent="0.35">
      <c r="A196" t="s">
        <v>25</v>
      </c>
      <c r="B196" t="e">
        <f>GETPIVOTDATA("Revenue",ScalarRow!A1,"Region","North","Product","A")</f>
        <v>#REF!</v>
      </c>
    </row>
    <row r="197" spans="1:2" x14ac:dyDescent="0.35">
      <c r="A197" t="s">
        <v>25</v>
      </c>
      <c r="B197" t="e">
        <f>GETPIVOTDATA("Revenue",ScalarRow!A1,"Region","South","Product","B")</f>
        <v>#REF!</v>
      </c>
    </row>
    <row r="198" spans="1:2" x14ac:dyDescent="0.35">
      <c r="A198" t="s">
        <v>25</v>
      </c>
      <c r="B198" t="e">
        <f>GETPIVOTDATA("Revenue",ScalarRow!A1,"Region","missing")</f>
        <v>#REF!</v>
      </c>
    </row>
    <row r="199" spans="1:2" x14ac:dyDescent="0.35">
      <c r="A199" t="s">
        <v>25</v>
      </c>
      <c r="B199">
        <f>GETPIVOTDATA("AvgUnits",ScalarRow!A1)</f>
        <v>2.375</v>
      </c>
    </row>
    <row r="200" spans="1:2" x14ac:dyDescent="0.35">
      <c r="A200" t="s">
        <v>25</v>
      </c>
      <c r="B200" t="e">
        <f>GETPIVOTDATA("AvgUnits",ScalarRow!A1,"Region","North")</f>
        <v>#REF!</v>
      </c>
    </row>
    <row r="201" spans="1:2" x14ac:dyDescent="0.35">
      <c r="A201" t="s">
        <v>25</v>
      </c>
      <c r="B201" t="e">
        <f>GETPIVOTDATA("AvgUnits",ScalarRow!A1,"Region","South")</f>
        <v>#REF!</v>
      </c>
    </row>
    <row r="202" spans="1:2" x14ac:dyDescent="0.35">
      <c r="A202" t="s">
        <v>25</v>
      </c>
      <c r="B202" t="e">
        <f>GETPIVOTDATA("AvgUnits",ScalarRow!A1,"Region","West")</f>
        <v>#REF!</v>
      </c>
    </row>
    <row r="203" spans="1:2" x14ac:dyDescent="0.35">
      <c r="A203" t="s">
        <v>25</v>
      </c>
      <c r="B203" t="e">
        <f>GETPIVOTDATA("AvgUnits",ScalarRow!A1,"Product","A")</f>
        <v>#REF!</v>
      </c>
    </row>
    <row r="204" spans="1:2" x14ac:dyDescent="0.35">
      <c r="A204" t="s">
        <v>25</v>
      </c>
      <c r="B204" t="e">
        <f>GETPIVOTDATA("AvgUnits",ScalarRow!A1,"Product","B")</f>
        <v>#REF!</v>
      </c>
    </row>
    <row r="205" spans="1:2" x14ac:dyDescent="0.35">
      <c r="A205" t="s">
        <v>25</v>
      </c>
      <c r="B205" t="e">
        <f>GETPIVOTDATA("AvgUnits",ScalarRow!A1,"Region","North","Product","A")</f>
        <v>#REF!</v>
      </c>
    </row>
    <row r="206" spans="1:2" x14ac:dyDescent="0.35">
      <c r="A206" t="s">
        <v>25</v>
      </c>
      <c r="B206" t="e">
        <f>GETPIVOTDATA("AvgUnits",ScalarRow!A1,"Region","South","Product","B")</f>
        <v>#REF!</v>
      </c>
    </row>
    <row r="207" spans="1:2" x14ac:dyDescent="0.35">
      <c r="A207" t="s">
        <v>25</v>
      </c>
      <c r="B207" t="e">
        <f>GETPIVOTDATA("AvgUnits",ScalarRow!A1,"Region","missing")</f>
        <v>#REF!</v>
      </c>
    </row>
    <row r="208" spans="1:2" x14ac:dyDescent="0.35">
      <c r="A208" t="s">
        <v>25</v>
      </c>
      <c r="B208">
        <f>GETPIVOTDATA("Entries",ScalarRow!A1)</f>
        <v>7</v>
      </c>
    </row>
    <row r="209" spans="1:2" x14ac:dyDescent="0.35">
      <c r="A209" t="s">
        <v>25</v>
      </c>
      <c r="B209" t="e">
        <f>GETPIVOTDATA("Entries",ScalarRow!A1,"Region","North")</f>
        <v>#REF!</v>
      </c>
    </row>
    <row r="210" spans="1:2" x14ac:dyDescent="0.35">
      <c r="A210" t="s">
        <v>25</v>
      </c>
      <c r="B210" t="e">
        <f>GETPIVOTDATA("Entries",ScalarRow!A1,"Region","South")</f>
        <v>#REF!</v>
      </c>
    </row>
    <row r="211" spans="1:2" x14ac:dyDescent="0.35">
      <c r="A211" t="s">
        <v>25</v>
      </c>
      <c r="B211" t="e">
        <f>GETPIVOTDATA("Entries",ScalarRow!A1,"Region","West")</f>
        <v>#REF!</v>
      </c>
    </row>
    <row r="212" spans="1:2" x14ac:dyDescent="0.35">
      <c r="A212" t="s">
        <v>25</v>
      </c>
      <c r="B212" t="e">
        <f>GETPIVOTDATA("Entries",ScalarRow!A1,"Product","A")</f>
        <v>#REF!</v>
      </c>
    </row>
    <row r="213" spans="1:2" x14ac:dyDescent="0.35">
      <c r="A213" t="s">
        <v>25</v>
      </c>
      <c r="B213" t="e">
        <f>GETPIVOTDATA("Entries",ScalarRow!A1,"Product","B")</f>
        <v>#REF!</v>
      </c>
    </row>
    <row r="214" spans="1:2" x14ac:dyDescent="0.35">
      <c r="A214" t="s">
        <v>25</v>
      </c>
      <c r="B214" t="e">
        <f>GETPIVOTDATA("Entries",ScalarRow!A1,"Region","North","Product","A")</f>
        <v>#REF!</v>
      </c>
    </row>
    <row r="215" spans="1:2" x14ac:dyDescent="0.35">
      <c r="A215" t="s">
        <v>25</v>
      </c>
      <c r="B215" t="e">
        <f>GETPIVOTDATA("Entries",ScalarRow!A1,"Region","South","Product","B")</f>
        <v>#REF!</v>
      </c>
    </row>
    <row r="216" spans="1:2" x14ac:dyDescent="0.35">
      <c r="A216" t="s">
        <v>25</v>
      </c>
      <c r="B216" t="e">
        <f>GETPIVOTDATA("Entries",ScalarRow!A1,"Region","missing")</f>
        <v>#REF!</v>
      </c>
    </row>
    <row r="217" spans="1:2" x14ac:dyDescent="0.35">
      <c r="A217" t="s">
        <v>26</v>
      </c>
      <c r="B217">
        <f>GETPIVOTDATA("Revenue",BothColOuter!A1)</f>
        <v>48</v>
      </c>
    </row>
    <row r="218" spans="1:2" x14ac:dyDescent="0.35">
      <c r="A218" t="s">
        <v>26</v>
      </c>
      <c r="B218">
        <f>GETPIVOTDATA("Revenue",BothColOuter!A1,"Region","North")</f>
        <v>28</v>
      </c>
    </row>
    <row r="219" spans="1:2" x14ac:dyDescent="0.35">
      <c r="A219" t="s">
        <v>26</v>
      </c>
      <c r="B219">
        <f>GETPIVOTDATA("Revenue",BothColOuter!A1,"Region","South")</f>
        <v>20</v>
      </c>
    </row>
    <row r="220" spans="1:2" x14ac:dyDescent="0.35">
      <c r="A220" t="s">
        <v>26</v>
      </c>
      <c r="B220">
        <f>GETPIVOTDATA("Revenue",BothColOuter!A1,"Region","West")</f>
        <v>0</v>
      </c>
    </row>
    <row r="221" spans="1:2" x14ac:dyDescent="0.35">
      <c r="A221" t="s">
        <v>26</v>
      </c>
      <c r="B221">
        <f>GETPIVOTDATA("Revenue",BothColOuter!A1,"Product","A")</f>
        <v>13</v>
      </c>
    </row>
    <row r="222" spans="1:2" x14ac:dyDescent="0.35">
      <c r="A222" t="s">
        <v>26</v>
      </c>
      <c r="B222">
        <f>GETPIVOTDATA("Revenue",BothColOuter!A1,"Product","B")</f>
        <v>35</v>
      </c>
    </row>
    <row r="223" spans="1:2" x14ac:dyDescent="0.35">
      <c r="A223" t="s">
        <v>26</v>
      </c>
      <c r="B223">
        <f>GETPIVOTDATA("Revenue",BothColOuter!A1,"Region","North","Product","A")</f>
        <v>8</v>
      </c>
    </row>
    <row r="224" spans="1:2" x14ac:dyDescent="0.35">
      <c r="A224" t="s">
        <v>26</v>
      </c>
      <c r="B224">
        <f>GETPIVOTDATA("Revenue",BothColOuter!A1,"Region","South","Product","B")</f>
        <v>15</v>
      </c>
    </row>
    <row r="225" spans="1:2" x14ac:dyDescent="0.35">
      <c r="A225" t="s">
        <v>26</v>
      </c>
      <c r="B225" t="e">
        <f>GETPIVOTDATA("Revenue",BothColOuter!A1,"Region","missing")</f>
        <v>#REF!</v>
      </c>
    </row>
    <row r="226" spans="1:2" x14ac:dyDescent="0.35">
      <c r="A226" t="s">
        <v>26</v>
      </c>
      <c r="B226">
        <f>GETPIVOTDATA("AvgUnits",BothColOuter!A1)</f>
        <v>2.375</v>
      </c>
    </row>
    <row r="227" spans="1:2" x14ac:dyDescent="0.35">
      <c r="A227" t="s">
        <v>26</v>
      </c>
      <c r="B227">
        <f>GETPIVOTDATA("AvgUnits",BothColOuter!A1,"Region","North")</f>
        <v>1.75</v>
      </c>
    </row>
    <row r="228" spans="1:2" x14ac:dyDescent="0.35">
      <c r="A228" t="s">
        <v>26</v>
      </c>
      <c r="B228">
        <f>GETPIVOTDATA("AvgUnits",BothColOuter!A1,"Region","South")</f>
        <v>2.3333333333333335</v>
      </c>
    </row>
    <row r="229" spans="1:2" x14ac:dyDescent="0.35">
      <c r="A229" t="s">
        <v>26</v>
      </c>
      <c r="B229">
        <f>GETPIVOTDATA("AvgUnits",BothColOuter!A1,"Region","West")</f>
        <v>5</v>
      </c>
    </row>
    <row r="230" spans="1:2" x14ac:dyDescent="0.35">
      <c r="A230" t="s">
        <v>26</v>
      </c>
      <c r="B230">
        <f>GETPIVOTDATA("AvgUnits",BothColOuter!A1,"Product","A")</f>
        <v>1.5</v>
      </c>
    </row>
    <row r="231" spans="1:2" x14ac:dyDescent="0.35">
      <c r="A231" t="s">
        <v>26</v>
      </c>
      <c r="B231">
        <f>GETPIVOTDATA("AvgUnits",BothColOuter!A1,"Product","B")</f>
        <v>3.25</v>
      </c>
    </row>
    <row r="232" spans="1:2" x14ac:dyDescent="0.35">
      <c r="A232" t="s">
        <v>26</v>
      </c>
      <c r="B232">
        <f>GETPIVOTDATA("AvgUnits",BothColOuter!A1,"Region","North","Product","A")</f>
        <v>1.5</v>
      </c>
    </row>
    <row r="233" spans="1:2" x14ac:dyDescent="0.35">
      <c r="A233" t="s">
        <v>26</v>
      </c>
      <c r="B233">
        <f>GETPIVOTDATA("AvgUnits",BothColOuter!A1,"Region","South","Product","B")</f>
        <v>4</v>
      </c>
    </row>
    <row r="234" spans="1:2" x14ac:dyDescent="0.35">
      <c r="A234" t="s">
        <v>26</v>
      </c>
      <c r="B234" t="e">
        <f>GETPIVOTDATA("AvgUnits",BothColOuter!A1,"Region","missing")</f>
        <v>#REF!</v>
      </c>
    </row>
    <row r="235" spans="1:2" x14ac:dyDescent="0.35">
      <c r="A235" t="s">
        <v>26</v>
      </c>
      <c r="B235">
        <f>GETPIVOTDATA("Entries",BothColOuter!A1)</f>
        <v>7</v>
      </c>
    </row>
    <row r="236" spans="1:2" x14ac:dyDescent="0.35">
      <c r="A236" t="s">
        <v>26</v>
      </c>
      <c r="B236">
        <f>GETPIVOTDATA("Entries",BothColOuter!A1,"Region","North")</f>
        <v>4</v>
      </c>
    </row>
    <row r="237" spans="1:2" x14ac:dyDescent="0.35">
      <c r="A237" t="s">
        <v>26</v>
      </c>
      <c r="B237">
        <f>GETPIVOTDATA("Entries",BothColOuter!A1,"Region","South")</f>
        <v>3</v>
      </c>
    </row>
    <row r="238" spans="1:2" x14ac:dyDescent="0.35">
      <c r="A238" t="s">
        <v>26</v>
      </c>
      <c r="B238">
        <f>GETPIVOTDATA("Entries",BothColOuter!A1,"Region","West")</f>
        <v>0</v>
      </c>
    </row>
    <row r="239" spans="1:2" x14ac:dyDescent="0.35">
      <c r="A239" t="s">
        <v>26</v>
      </c>
      <c r="B239">
        <f>GETPIVOTDATA("Entries",BothColOuter!A1,"Product","A")</f>
        <v>4</v>
      </c>
    </row>
    <row r="240" spans="1:2" x14ac:dyDescent="0.35">
      <c r="A240" t="s">
        <v>26</v>
      </c>
      <c r="B240">
        <f>GETPIVOTDATA("Entries",BothColOuter!A1,"Product","B")</f>
        <v>3</v>
      </c>
    </row>
    <row r="241" spans="1:2" x14ac:dyDescent="0.35">
      <c r="A241" t="s">
        <v>26</v>
      </c>
      <c r="B241">
        <f>GETPIVOTDATA("Entries",BothColOuter!A1,"Region","North","Product","A")</f>
        <v>2</v>
      </c>
    </row>
    <row r="242" spans="1:2" x14ac:dyDescent="0.35">
      <c r="A242" t="s">
        <v>26</v>
      </c>
      <c r="B242">
        <f>GETPIVOTDATA("Entries",BothColOuter!A1,"Region","South","Product","B")</f>
        <v>1</v>
      </c>
    </row>
    <row r="243" spans="1:2" x14ac:dyDescent="0.35">
      <c r="A243" t="s">
        <v>26</v>
      </c>
      <c r="B243" t="e">
        <f>GETPIVOTDATA("Entries",BothColOuter!A1,"Region","missing")</f>
        <v>#REF!</v>
      </c>
    </row>
    <row r="244" spans="1:2" x14ac:dyDescent="0.35">
      <c r="A244" t="s">
        <v>27</v>
      </c>
      <c r="B244">
        <f>GETPIVOTDATA("Revenue",BothRowOuter!A1)</f>
        <v>48</v>
      </c>
    </row>
    <row r="245" spans="1:2" x14ac:dyDescent="0.35">
      <c r="A245" t="s">
        <v>27</v>
      </c>
      <c r="B245">
        <f>GETPIVOTDATA("Revenue",BothRowOuter!A1,"Region","North")</f>
        <v>28</v>
      </c>
    </row>
    <row r="246" spans="1:2" x14ac:dyDescent="0.35">
      <c r="A246" t="s">
        <v>27</v>
      </c>
      <c r="B246">
        <f>GETPIVOTDATA("Revenue",BothRowOuter!A1,"Region","South")</f>
        <v>20</v>
      </c>
    </row>
    <row r="247" spans="1:2" x14ac:dyDescent="0.35">
      <c r="A247" t="s">
        <v>27</v>
      </c>
      <c r="B247">
        <f>GETPIVOTDATA("Revenue",BothRowOuter!A1,"Region","West")</f>
        <v>0</v>
      </c>
    </row>
    <row r="248" spans="1:2" x14ac:dyDescent="0.35">
      <c r="A248" t="s">
        <v>27</v>
      </c>
      <c r="B248">
        <f>GETPIVOTDATA("Revenue",BothRowOuter!A1,"Product","A")</f>
        <v>13</v>
      </c>
    </row>
    <row r="249" spans="1:2" x14ac:dyDescent="0.35">
      <c r="A249" t="s">
        <v>27</v>
      </c>
      <c r="B249">
        <f>GETPIVOTDATA("Revenue",BothRowOuter!A1,"Product","B")</f>
        <v>35</v>
      </c>
    </row>
    <row r="250" spans="1:2" x14ac:dyDescent="0.35">
      <c r="A250" t="s">
        <v>27</v>
      </c>
      <c r="B250">
        <f>GETPIVOTDATA("Revenue",BothRowOuter!A1,"Region","North","Product","A")</f>
        <v>8</v>
      </c>
    </row>
    <row r="251" spans="1:2" x14ac:dyDescent="0.35">
      <c r="A251" t="s">
        <v>27</v>
      </c>
      <c r="B251">
        <f>GETPIVOTDATA("Revenue",BothRowOuter!A1,"Region","South","Product","B")</f>
        <v>15</v>
      </c>
    </row>
    <row r="252" spans="1:2" x14ac:dyDescent="0.35">
      <c r="A252" t="s">
        <v>27</v>
      </c>
      <c r="B252" t="e">
        <f>GETPIVOTDATA("Revenue",BothRowOuter!A1,"Region","missing")</f>
        <v>#REF!</v>
      </c>
    </row>
    <row r="253" spans="1:2" x14ac:dyDescent="0.35">
      <c r="A253" t="s">
        <v>27</v>
      </c>
      <c r="B253">
        <f>GETPIVOTDATA("AvgUnits",BothRowOuter!A1)</f>
        <v>2.375</v>
      </c>
    </row>
    <row r="254" spans="1:2" x14ac:dyDescent="0.35">
      <c r="A254" t="s">
        <v>27</v>
      </c>
      <c r="B254">
        <f>GETPIVOTDATA("AvgUnits",BothRowOuter!A1,"Region","North")</f>
        <v>1.75</v>
      </c>
    </row>
    <row r="255" spans="1:2" x14ac:dyDescent="0.35">
      <c r="A255" t="s">
        <v>27</v>
      </c>
      <c r="B255">
        <f>GETPIVOTDATA("AvgUnits",BothRowOuter!A1,"Region","South")</f>
        <v>2.3333333333333335</v>
      </c>
    </row>
    <row r="256" spans="1:2" x14ac:dyDescent="0.35">
      <c r="A256" t="s">
        <v>27</v>
      </c>
      <c r="B256">
        <f>GETPIVOTDATA("AvgUnits",BothRowOuter!A1,"Region","West")</f>
        <v>5</v>
      </c>
    </row>
    <row r="257" spans="1:2" x14ac:dyDescent="0.35">
      <c r="A257" t="s">
        <v>27</v>
      </c>
      <c r="B257">
        <f>GETPIVOTDATA("AvgUnits",BothRowOuter!A1,"Product","A")</f>
        <v>1.5</v>
      </c>
    </row>
    <row r="258" spans="1:2" x14ac:dyDescent="0.35">
      <c r="A258" t="s">
        <v>27</v>
      </c>
      <c r="B258">
        <f>GETPIVOTDATA("AvgUnits",BothRowOuter!A1,"Product","B")</f>
        <v>3.25</v>
      </c>
    </row>
    <row r="259" spans="1:2" x14ac:dyDescent="0.35">
      <c r="A259" t="s">
        <v>27</v>
      </c>
      <c r="B259">
        <f>GETPIVOTDATA("AvgUnits",BothRowOuter!A1,"Region","North","Product","A")</f>
        <v>1.5</v>
      </c>
    </row>
    <row r="260" spans="1:2" x14ac:dyDescent="0.35">
      <c r="A260" t="s">
        <v>27</v>
      </c>
      <c r="B260">
        <f>GETPIVOTDATA("AvgUnits",BothRowOuter!A1,"Region","South","Product","B")</f>
        <v>4</v>
      </c>
    </row>
    <row r="261" spans="1:2" x14ac:dyDescent="0.35">
      <c r="A261" t="s">
        <v>27</v>
      </c>
      <c r="B261" t="e">
        <f>GETPIVOTDATA("AvgUnits",BothRowOuter!A1,"Region","missing")</f>
        <v>#REF!</v>
      </c>
    </row>
    <row r="262" spans="1:2" x14ac:dyDescent="0.35">
      <c r="A262" t="s">
        <v>27</v>
      </c>
      <c r="B262">
        <f>GETPIVOTDATA("Entries",BothRowOuter!A1)</f>
        <v>7</v>
      </c>
    </row>
    <row r="263" spans="1:2" x14ac:dyDescent="0.35">
      <c r="A263" t="s">
        <v>27</v>
      </c>
      <c r="B263">
        <f>GETPIVOTDATA("Entries",BothRowOuter!A1,"Region","North")</f>
        <v>4</v>
      </c>
    </row>
    <row r="264" spans="1:2" x14ac:dyDescent="0.35">
      <c r="A264" t="s">
        <v>27</v>
      </c>
      <c r="B264">
        <f>GETPIVOTDATA("Entries",BothRowOuter!A1,"Region","South")</f>
        <v>3</v>
      </c>
    </row>
    <row r="265" spans="1:2" x14ac:dyDescent="0.35">
      <c r="A265" t="s">
        <v>27</v>
      </c>
      <c r="B265">
        <f>GETPIVOTDATA("Entries",BothRowOuter!A1,"Region","West")</f>
        <v>0</v>
      </c>
    </row>
    <row r="266" spans="1:2" x14ac:dyDescent="0.35">
      <c r="A266" t="s">
        <v>27</v>
      </c>
      <c r="B266">
        <f>GETPIVOTDATA("Entries",BothRowOuter!A1,"Product","A")</f>
        <v>4</v>
      </c>
    </row>
    <row r="267" spans="1:2" x14ac:dyDescent="0.35">
      <c r="A267" t="s">
        <v>27</v>
      </c>
      <c r="B267">
        <f>GETPIVOTDATA("Entries",BothRowOuter!A1,"Product","B")</f>
        <v>3</v>
      </c>
    </row>
    <row r="268" spans="1:2" x14ac:dyDescent="0.35">
      <c r="A268" t="s">
        <v>27</v>
      </c>
      <c r="B268">
        <f>GETPIVOTDATA("Entries",BothRowOuter!A1,"Region","North","Product","A")</f>
        <v>2</v>
      </c>
    </row>
    <row r="269" spans="1:2" x14ac:dyDescent="0.35">
      <c r="A269" t="s">
        <v>27</v>
      </c>
      <c r="B269">
        <f>GETPIVOTDATA("Entries",BothRowOuter!A1,"Region","South","Product","B")</f>
        <v>1</v>
      </c>
    </row>
    <row r="270" spans="1:2" x14ac:dyDescent="0.35">
      <c r="A270" t="s">
        <v>27</v>
      </c>
      <c r="B270" t="e">
        <f>GETPIVOTDATA("Entries",BothRowOuter!A1,"Region","missing")</f>
        <v>#REF!</v>
      </c>
    </row>
    <row r="271" spans="1:2" x14ac:dyDescent="0.35">
      <c r="A271" t="s">
        <v>28</v>
      </c>
      <c r="B271">
        <f>GETPIVOTDATA("Revenue",RowRowOuter!A1)</f>
        <v>48</v>
      </c>
    </row>
    <row r="272" spans="1:2" x14ac:dyDescent="0.35">
      <c r="A272" t="s">
        <v>28</v>
      </c>
      <c r="B272">
        <f>GETPIVOTDATA("Revenue",RowRowOuter!A1,"Region","North")</f>
        <v>28</v>
      </c>
    </row>
    <row r="273" spans="1:2" x14ac:dyDescent="0.35">
      <c r="A273" t="s">
        <v>28</v>
      </c>
      <c r="B273">
        <f>GETPIVOTDATA("Revenue",RowRowOuter!A1,"Region","South")</f>
        <v>20</v>
      </c>
    </row>
    <row r="274" spans="1:2" x14ac:dyDescent="0.35">
      <c r="A274" t="s">
        <v>28</v>
      </c>
      <c r="B274">
        <f>GETPIVOTDATA("Revenue",RowRowOuter!A1,"Region","West")</f>
        <v>0</v>
      </c>
    </row>
    <row r="275" spans="1:2" x14ac:dyDescent="0.35">
      <c r="A275" t="s">
        <v>28</v>
      </c>
      <c r="B275" t="e">
        <f>GETPIVOTDATA("Revenue",RowRowOuter!A1,"Product","A")</f>
        <v>#REF!</v>
      </c>
    </row>
    <row r="276" spans="1:2" x14ac:dyDescent="0.35">
      <c r="A276" t="s">
        <v>28</v>
      </c>
      <c r="B276" t="e">
        <f>GETPIVOTDATA("Revenue",RowRowOuter!A1,"Product","B")</f>
        <v>#REF!</v>
      </c>
    </row>
    <row r="277" spans="1:2" x14ac:dyDescent="0.35">
      <c r="A277" t="s">
        <v>28</v>
      </c>
      <c r="B277" t="e">
        <f>GETPIVOTDATA("Revenue",RowRowOuter!A1,"Region","North","Product","A")</f>
        <v>#REF!</v>
      </c>
    </row>
    <row r="278" spans="1:2" x14ac:dyDescent="0.35">
      <c r="A278" t="s">
        <v>28</v>
      </c>
      <c r="B278" t="e">
        <f>GETPIVOTDATA("Revenue",RowRowOuter!A1,"Region","South","Product","B")</f>
        <v>#REF!</v>
      </c>
    </row>
    <row r="279" spans="1:2" x14ac:dyDescent="0.35">
      <c r="A279" t="s">
        <v>28</v>
      </c>
      <c r="B279" t="e">
        <f>GETPIVOTDATA("Revenue",RowRowOuter!A1,"Region","missing")</f>
        <v>#REF!</v>
      </c>
    </row>
    <row r="280" spans="1:2" x14ac:dyDescent="0.35">
      <c r="A280" t="s">
        <v>28</v>
      </c>
      <c r="B280">
        <f>GETPIVOTDATA("AvgUnits",RowRowOuter!A1)</f>
        <v>2.375</v>
      </c>
    </row>
    <row r="281" spans="1:2" x14ac:dyDescent="0.35">
      <c r="A281" t="s">
        <v>28</v>
      </c>
      <c r="B281">
        <f>GETPIVOTDATA("AvgUnits",RowRowOuter!A1,"Region","North")</f>
        <v>1.75</v>
      </c>
    </row>
    <row r="282" spans="1:2" x14ac:dyDescent="0.35">
      <c r="A282" t="s">
        <v>28</v>
      </c>
      <c r="B282">
        <f>GETPIVOTDATA("AvgUnits",RowRowOuter!A1,"Region","South")</f>
        <v>2.3333333333333335</v>
      </c>
    </row>
    <row r="283" spans="1:2" x14ac:dyDescent="0.35">
      <c r="A283" t="s">
        <v>28</v>
      </c>
      <c r="B283">
        <f>GETPIVOTDATA("AvgUnits",RowRowOuter!A1,"Region","West")</f>
        <v>5</v>
      </c>
    </row>
    <row r="284" spans="1:2" x14ac:dyDescent="0.35">
      <c r="A284" t="s">
        <v>28</v>
      </c>
      <c r="B284" t="e">
        <f>GETPIVOTDATA("AvgUnits",RowRowOuter!A1,"Product","A")</f>
        <v>#REF!</v>
      </c>
    </row>
    <row r="285" spans="1:2" x14ac:dyDescent="0.35">
      <c r="A285" t="s">
        <v>28</v>
      </c>
      <c r="B285" t="e">
        <f>GETPIVOTDATA("AvgUnits",RowRowOuter!A1,"Product","B")</f>
        <v>#REF!</v>
      </c>
    </row>
    <row r="286" spans="1:2" x14ac:dyDescent="0.35">
      <c r="A286" t="s">
        <v>28</v>
      </c>
      <c r="B286" t="e">
        <f>GETPIVOTDATA("AvgUnits",RowRowOuter!A1,"Region","North","Product","A")</f>
        <v>#REF!</v>
      </c>
    </row>
    <row r="287" spans="1:2" x14ac:dyDescent="0.35">
      <c r="A287" t="s">
        <v>28</v>
      </c>
      <c r="B287" t="e">
        <f>GETPIVOTDATA("AvgUnits",RowRowOuter!A1,"Region","South","Product","B")</f>
        <v>#REF!</v>
      </c>
    </row>
    <row r="288" spans="1:2" x14ac:dyDescent="0.35">
      <c r="A288" t="s">
        <v>28</v>
      </c>
      <c r="B288" t="e">
        <f>GETPIVOTDATA("AvgUnits",RowRowOuter!A1,"Region","missing")</f>
        <v>#REF!</v>
      </c>
    </row>
    <row r="289" spans="1:2" x14ac:dyDescent="0.35">
      <c r="A289" t="s">
        <v>28</v>
      </c>
      <c r="B289">
        <f>GETPIVOTDATA("Entries",RowRowOuter!A1)</f>
        <v>7</v>
      </c>
    </row>
    <row r="290" spans="1:2" x14ac:dyDescent="0.35">
      <c r="A290" t="s">
        <v>28</v>
      </c>
      <c r="B290">
        <f>GETPIVOTDATA("Entries",RowRowOuter!A1,"Region","North")</f>
        <v>4</v>
      </c>
    </row>
    <row r="291" spans="1:2" x14ac:dyDescent="0.35">
      <c r="A291" t="s">
        <v>28</v>
      </c>
      <c r="B291">
        <f>GETPIVOTDATA("Entries",RowRowOuter!A1,"Region","South")</f>
        <v>3</v>
      </c>
    </row>
    <row r="292" spans="1:2" x14ac:dyDescent="0.35">
      <c r="A292" t="s">
        <v>28</v>
      </c>
      <c r="B292">
        <f>GETPIVOTDATA("Entries",RowRowOuter!A1,"Region","West")</f>
        <v>0</v>
      </c>
    </row>
    <row r="293" spans="1:2" x14ac:dyDescent="0.35">
      <c r="A293" t="s">
        <v>28</v>
      </c>
      <c r="B293" t="e">
        <f>GETPIVOTDATA("Entries",RowRowOuter!A1,"Product","A")</f>
        <v>#REF!</v>
      </c>
    </row>
    <row r="294" spans="1:2" x14ac:dyDescent="0.35">
      <c r="A294" t="s">
        <v>28</v>
      </c>
      <c r="B294" t="e">
        <f>GETPIVOTDATA("Entries",RowRowOuter!A1,"Product","B")</f>
        <v>#REF!</v>
      </c>
    </row>
    <row r="295" spans="1:2" x14ac:dyDescent="0.35">
      <c r="A295" t="s">
        <v>28</v>
      </c>
      <c r="B295" t="e">
        <f>GETPIVOTDATA("Entries",RowRowOuter!A1,"Region","North","Product","A")</f>
        <v>#REF!</v>
      </c>
    </row>
    <row r="296" spans="1:2" x14ac:dyDescent="0.35">
      <c r="A296" t="s">
        <v>28</v>
      </c>
      <c r="B296" t="e">
        <f>GETPIVOTDATA("Entries",RowRowOuter!A1,"Region","South","Product","B")</f>
        <v>#REF!</v>
      </c>
    </row>
    <row r="297" spans="1:2" x14ac:dyDescent="0.35">
      <c r="A297" t="s">
        <v>28</v>
      </c>
      <c r="B297" t="e">
        <f>GETPIVOTDATA("Entries",RowRowOuter!A1,"Region","missing")</f>
        <v>#REF!</v>
      </c>
    </row>
    <row r="298" spans="1:2" x14ac:dyDescent="0.35">
      <c r="A298" t="s">
        <v>29</v>
      </c>
      <c r="B298">
        <f>GETPIVOTDATA("Revenue",ColColOuter!A1)</f>
        <v>48</v>
      </c>
    </row>
    <row r="299" spans="1:2" x14ac:dyDescent="0.35">
      <c r="A299" t="s">
        <v>29</v>
      </c>
      <c r="B299" t="e">
        <f>GETPIVOTDATA("Revenue",ColColOuter!A1,"Region","North")</f>
        <v>#REF!</v>
      </c>
    </row>
    <row r="300" spans="1:2" x14ac:dyDescent="0.35">
      <c r="A300" t="s">
        <v>29</v>
      </c>
      <c r="B300" t="e">
        <f>GETPIVOTDATA("Revenue",ColColOuter!A1,"Region","South")</f>
        <v>#REF!</v>
      </c>
    </row>
    <row r="301" spans="1:2" x14ac:dyDescent="0.35">
      <c r="A301" t="s">
        <v>29</v>
      </c>
      <c r="B301" t="e">
        <f>GETPIVOTDATA("Revenue",ColColOuter!A1,"Region","West")</f>
        <v>#REF!</v>
      </c>
    </row>
    <row r="302" spans="1:2" x14ac:dyDescent="0.35">
      <c r="A302" t="s">
        <v>29</v>
      </c>
      <c r="B302">
        <f>GETPIVOTDATA("Revenue",ColColOuter!A1,"Product","A")</f>
        <v>13</v>
      </c>
    </row>
    <row r="303" spans="1:2" x14ac:dyDescent="0.35">
      <c r="A303" t="s">
        <v>29</v>
      </c>
      <c r="B303">
        <f>GETPIVOTDATA("Revenue",ColColOuter!A1,"Product","B")</f>
        <v>35</v>
      </c>
    </row>
    <row r="304" spans="1:2" x14ac:dyDescent="0.35">
      <c r="A304" t="s">
        <v>29</v>
      </c>
      <c r="B304" t="e">
        <f>GETPIVOTDATA("Revenue",ColColOuter!A1,"Region","North","Product","A")</f>
        <v>#REF!</v>
      </c>
    </row>
    <row r="305" spans="1:2" x14ac:dyDescent="0.35">
      <c r="A305" t="s">
        <v>29</v>
      </c>
      <c r="B305" t="e">
        <f>GETPIVOTDATA("Revenue",ColColOuter!A1,"Region","South","Product","B")</f>
        <v>#REF!</v>
      </c>
    </row>
    <row r="306" spans="1:2" x14ac:dyDescent="0.35">
      <c r="A306" t="s">
        <v>29</v>
      </c>
      <c r="B306" t="e">
        <f>GETPIVOTDATA("Revenue",ColColOuter!A1,"Region","missing")</f>
        <v>#REF!</v>
      </c>
    </row>
    <row r="307" spans="1:2" x14ac:dyDescent="0.35">
      <c r="A307" t="s">
        <v>29</v>
      </c>
      <c r="B307">
        <f>GETPIVOTDATA("AvgUnits",ColColOuter!A1)</f>
        <v>2.375</v>
      </c>
    </row>
    <row r="308" spans="1:2" x14ac:dyDescent="0.35">
      <c r="A308" t="s">
        <v>29</v>
      </c>
      <c r="B308" t="e">
        <f>GETPIVOTDATA("AvgUnits",ColColOuter!A1,"Region","North")</f>
        <v>#REF!</v>
      </c>
    </row>
    <row r="309" spans="1:2" x14ac:dyDescent="0.35">
      <c r="A309" t="s">
        <v>29</v>
      </c>
      <c r="B309" t="e">
        <f>GETPIVOTDATA("AvgUnits",ColColOuter!A1,"Region","South")</f>
        <v>#REF!</v>
      </c>
    </row>
    <row r="310" spans="1:2" x14ac:dyDescent="0.35">
      <c r="A310" t="s">
        <v>29</v>
      </c>
      <c r="B310" t="e">
        <f>GETPIVOTDATA("AvgUnits",ColColOuter!A1,"Region","West")</f>
        <v>#REF!</v>
      </c>
    </row>
    <row r="311" spans="1:2" x14ac:dyDescent="0.35">
      <c r="A311" t="s">
        <v>29</v>
      </c>
      <c r="B311">
        <f>GETPIVOTDATA("AvgUnits",ColColOuter!A1,"Product","A")</f>
        <v>1.5</v>
      </c>
    </row>
    <row r="312" spans="1:2" x14ac:dyDescent="0.35">
      <c r="A312" t="s">
        <v>29</v>
      </c>
      <c r="B312">
        <f>GETPIVOTDATA("AvgUnits",ColColOuter!A1,"Product","B")</f>
        <v>3.25</v>
      </c>
    </row>
    <row r="313" spans="1:2" x14ac:dyDescent="0.35">
      <c r="A313" t="s">
        <v>29</v>
      </c>
      <c r="B313" t="e">
        <f>GETPIVOTDATA("AvgUnits",ColColOuter!A1,"Region","North","Product","A")</f>
        <v>#REF!</v>
      </c>
    </row>
    <row r="314" spans="1:2" x14ac:dyDescent="0.35">
      <c r="A314" t="s">
        <v>29</v>
      </c>
      <c r="B314" t="e">
        <f>GETPIVOTDATA("AvgUnits",ColColOuter!A1,"Region","South","Product","B")</f>
        <v>#REF!</v>
      </c>
    </row>
    <row r="315" spans="1:2" x14ac:dyDescent="0.35">
      <c r="A315" t="s">
        <v>29</v>
      </c>
      <c r="B315" t="e">
        <f>GETPIVOTDATA("AvgUnits",ColColOuter!A1,"Region","missing")</f>
        <v>#REF!</v>
      </c>
    </row>
    <row r="316" spans="1:2" x14ac:dyDescent="0.35">
      <c r="A316" t="s">
        <v>29</v>
      </c>
      <c r="B316">
        <f>GETPIVOTDATA("Entries",ColColOuter!A1)</f>
        <v>7</v>
      </c>
    </row>
    <row r="317" spans="1:2" x14ac:dyDescent="0.35">
      <c r="A317" t="s">
        <v>29</v>
      </c>
      <c r="B317" t="e">
        <f>GETPIVOTDATA("Entries",ColColOuter!A1,"Region","North")</f>
        <v>#REF!</v>
      </c>
    </row>
    <row r="318" spans="1:2" x14ac:dyDescent="0.35">
      <c r="A318" t="s">
        <v>29</v>
      </c>
      <c r="B318" t="e">
        <f>GETPIVOTDATA("Entries",ColColOuter!A1,"Region","South")</f>
        <v>#REF!</v>
      </c>
    </row>
    <row r="319" spans="1:2" x14ac:dyDescent="0.35">
      <c r="A319" t="s">
        <v>29</v>
      </c>
      <c r="B319" t="e">
        <f>GETPIVOTDATA("Entries",ColColOuter!A1,"Region","West")</f>
        <v>#REF!</v>
      </c>
    </row>
    <row r="320" spans="1:2" x14ac:dyDescent="0.35">
      <c r="A320" t="s">
        <v>29</v>
      </c>
      <c r="B320">
        <f>GETPIVOTDATA("Entries",ColColOuter!A1,"Product","A")</f>
        <v>4</v>
      </c>
    </row>
    <row r="321" spans="1:2" x14ac:dyDescent="0.35">
      <c r="A321" t="s">
        <v>29</v>
      </c>
      <c r="B321">
        <f>GETPIVOTDATA("Entries",ColColOuter!A1,"Product","B")</f>
        <v>3</v>
      </c>
    </row>
    <row r="322" spans="1:2" x14ac:dyDescent="0.35">
      <c r="A322" t="s">
        <v>29</v>
      </c>
      <c r="B322" t="e">
        <f>GETPIVOTDATA("Entries",ColColOuter!A1,"Region","North","Product","A")</f>
        <v>#REF!</v>
      </c>
    </row>
    <row r="323" spans="1:2" x14ac:dyDescent="0.35">
      <c r="A323" t="s">
        <v>29</v>
      </c>
      <c r="B323" t="e">
        <f>GETPIVOTDATA("Entries",ColColOuter!A1,"Region","South","Product","B")</f>
        <v>#REF!</v>
      </c>
    </row>
    <row r="324" spans="1:2" x14ac:dyDescent="0.35">
      <c r="A324" t="s">
        <v>29</v>
      </c>
      <c r="B324" t="e">
        <f>GETPIVOTDATA("Entries",ColColOuter!A1,"Region","missing")</f>
        <v>#REF!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922FE-FB2C-4EA8-BFC8-9EFFE0A565D2}">
  <dimension ref="A1:D9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10</v>
      </c>
      <c r="D2">
        <v>2</v>
      </c>
    </row>
    <row r="3" spans="1:4" x14ac:dyDescent="0.35">
      <c r="A3" t="s">
        <v>4</v>
      </c>
      <c r="B3" t="s">
        <v>6</v>
      </c>
      <c r="C3">
        <v>20</v>
      </c>
      <c r="D3">
        <v>3</v>
      </c>
    </row>
    <row r="4" spans="1:4" x14ac:dyDescent="0.35">
      <c r="A4" t="s">
        <v>7</v>
      </c>
      <c r="B4" t="s">
        <v>5</v>
      </c>
      <c r="C4">
        <v>5</v>
      </c>
      <c r="D4">
        <v>1</v>
      </c>
    </row>
    <row r="5" spans="1:4" x14ac:dyDescent="0.35">
      <c r="A5" t="s">
        <v>7</v>
      </c>
      <c r="B5" t="s">
        <v>6</v>
      </c>
      <c r="C5">
        <v>15</v>
      </c>
      <c r="D5">
        <v>4</v>
      </c>
    </row>
    <row r="6" spans="1:4" x14ac:dyDescent="0.35">
      <c r="A6" t="s">
        <v>4</v>
      </c>
      <c r="B6" t="s">
        <v>5</v>
      </c>
      <c r="C6">
        <v>-2</v>
      </c>
      <c r="D6">
        <v>1</v>
      </c>
    </row>
    <row r="7" spans="1:4" x14ac:dyDescent="0.35">
      <c r="A7" t="s">
        <v>8</v>
      </c>
      <c r="B7" t="s">
        <v>6</v>
      </c>
      <c r="D7">
        <v>5</v>
      </c>
    </row>
    <row r="8" spans="1:4" x14ac:dyDescent="0.35">
      <c r="A8" t="s">
        <v>7</v>
      </c>
      <c r="B8" t="s">
        <v>5</v>
      </c>
      <c r="C8" t="s">
        <v>9</v>
      </c>
      <c r="D8">
        <v>2</v>
      </c>
    </row>
    <row r="9" spans="1:4" x14ac:dyDescent="0.35">
      <c r="A9" t="s">
        <v>4</v>
      </c>
      <c r="B9" t="s">
        <v>6</v>
      </c>
      <c r="C9" t="b">
        <v>1</v>
      </c>
      <c r="D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ColColOuter</vt:lpstr>
      <vt:lpstr>RowRowOuter</vt:lpstr>
      <vt:lpstr>BothRowOuter</vt:lpstr>
      <vt:lpstr>BothColOuter</vt:lpstr>
      <vt:lpstr>ScalarRow</vt:lpstr>
      <vt:lpstr>ScalarCol</vt:lpstr>
      <vt:lpstr>ColRow</vt:lpstr>
      <vt:lpstr>ColCol</vt:lpstr>
      <vt:lpstr>RowRow</vt:lpstr>
      <vt:lpstr>RowCol</vt:lpstr>
      <vt:lpstr>BothRow</vt:lpstr>
      <vt:lpstr>BothCol</vt:lpstr>
      <vt:lpstr>Lookups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2026-09-27T14:45:20Z</dcterms:created>
  <dcterms:modified xsi:type="dcterms:W3CDTF">2026-09-27T14:45:26Z</dcterms:modified>
</cp:coreProperties>
</file>